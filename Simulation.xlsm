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\Fordham\Courses\Financial Modeling\HomeWork\HM2\"/>
    </mc:Choice>
  </mc:AlternateContent>
  <bookViews>
    <workbookView xWindow="240" yWindow="108" windowWidth="14808" windowHeight="8016" activeTab="3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calcPr calcId="152511"/>
</workbook>
</file>

<file path=xl/calcChain.xml><?xml version="1.0" encoding="utf-8"?>
<calcChain xmlns="http://schemas.openxmlformats.org/spreadsheetml/2006/main">
  <c r="J3" i="2" l="1"/>
  <c r="J11" i="2"/>
  <c r="J19" i="2"/>
  <c r="J27" i="2"/>
  <c r="J35" i="2"/>
  <c r="J43" i="2"/>
  <c r="J59" i="2"/>
  <c r="J91" i="2"/>
  <c r="J4" i="2"/>
  <c r="J12" i="2"/>
  <c r="J20" i="2"/>
  <c r="J28" i="2"/>
  <c r="J36" i="2"/>
  <c r="J44" i="2"/>
  <c r="J52" i="2"/>
  <c r="J60" i="2"/>
  <c r="J68" i="2"/>
  <c r="J76" i="2"/>
  <c r="J84" i="2"/>
  <c r="J92" i="2"/>
  <c r="J100" i="2"/>
  <c r="J30" i="2"/>
  <c r="J54" i="2"/>
  <c r="J78" i="2"/>
  <c r="J102" i="2"/>
  <c r="J99" i="2"/>
  <c r="J5" i="2"/>
  <c r="J13" i="2"/>
  <c r="J21" i="2"/>
  <c r="J29" i="2"/>
  <c r="J37" i="2"/>
  <c r="J45" i="2"/>
  <c r="J53" i="2"/>
  <c r="J61" i="2"/>
  <c r="J69" i="2"/>
  <c r="J77" i="2"/>
  <c r="J85" i="2"/>
  <c r="J93" i="2"/>
  <c r="J101" i="2"/>
  <c r="J14" i="2"/>
  <c r="J38" i="2"/>
  <c r="J70" i="2"/>
  <c r="J94" i="2"/>
  <c r="J83" i="2"/>
  <c r="J6" i="2"/>
  <c r="J22" i="2"/>
  <c r="J46" i="2"/>
  <c r="J62" i="2"/>
  <c r="J86" i="2"/>
  <c r="J7" i="2"/>
  <c r="J15" i="2"/>
  <c r="J23" i="2"/>
  <c r="J31" i="2"/>
  <c r="J39" i="2"/>
  <c r="J47" i="2"/>
  <c r="J55" i="2"/>
  <c r="J63" i="2"/>
  <c r="J71" i="2"/>
  <c r="J79" i="2"/>
  <c r="J87" i="2"/>
  <c r="J95" i="2"/>
  <c r="J26" i="2"/>
  <c r="J42" i="2"/>
  <c r="J66" i="2"/>
  <c r="J98" i="2"/>
  <c r="J75" i="2"/>
  <c r="J8" i="2"/>
  <c r="J16" i="2"/>
  <c r="J24" i="2"/>
  <c r="J32" i="2"/>
  <c r="J40" i="2"/>
  <c r="J48" i="2"/>
  <c r="J56" i="2"/>
  <c r="J64" i="2"/>
  <c r="J72" i="2"/>
  <c r="J80" i="2"/>
  <c r="J88" i="2"/>
  <c r="J96" i="2"/>
  <c r="J10" i="2"/>
  <c r="J34" i="2"/>
  <c r="J58" i="2"/>
  <c r="J82" i="2"/>
  <c r="J51" i="2"/>
  <c r="J9" i="2"/>
  <c r="J17" i="2"/>
  <c r="J25" i="2"/>
  <c r="J33" i="2"/>
  <c r="J41" i="2"/>
  <c r="J49" i="2"/>
  <c r="J57" i="2"/>
  <c r="J65" i="2"/>
  <c r="J73" i="2"/>
  <c r="J81" i="2"/>
  <c r="J89" i="2"/>
  <c r="J97" i="2"/>
  <c r="J18" i="2"/>
  <c r="J50" i="2"/>
  <c r="J74" i="2"/>
  <c r="J90" i="2"/>
  <c r="J67" i="2"/>
  <c r="I3" i="2"/>
  <c r="I11" i="2"/>
  <c r="I19" i="2"/>
  <c r="I27" i="2"/>
  <c r="I35" i="2"/>
  <c r="I43" i="2"/>
  <c r="I51" i="2"/>
  <c r="I59" i="2"/>
  <c r="I67" i="2"/>
  <c r="I75" i="2"/>
  <c r="I83" i="2"/>
  <c r="I91" i="2"/>
  <c r="I99" i="2"/>
  <c r="I34" i="2"/>
  <c r="I82" i="2"/>
  <c r="I4" i="2"/>
  <c r="I12" i="2"/>
  <c r="I20" i="2"/>
  <c r="I28" i="2"/>
  <c r="I36" i="2"/>
  <c r="I44" i="2"/>
  <c r="I52" i="2"/>
  <c r="I60" i="2"/>
  <c r="I68" i="2"/>
  <c r="I76" i="2"/>
  <c r="I84" i="2"/>
  <c r="I92" i="2"/>
  <c r="I100" i="2"/>
  <c r="I58" i="2"/>
  <c r="I5" i="2"/>
  <c r="I13" i="2"/>
  <c r="I21" i="2"/>
  <c r="I29" i="2"/>
  <c r="I37" i="2"/>
  <c r="I45" i="2"/>
  <c r="I53" i="2"/>
  <c r="I61" i="2"/>
  <c r="I69" i="2"/>
  <c r="I77" i="2"/>
  <c r="I85" i="2"/>
  <c r="I93" i="2"/>
  <c r="I101" i="2"/>
  <c r="I42" i="2"/>
  <c r="I6" i="2"/>
  <c r="I14" i="2"/>
  <c r="I22" i="2"/>
  <c r="I30" i="2"/>
  <c r="I38" i="2"/>
  <c r="I46" i="2"/>
  <c r="I54" i="2"/>
  <c r="I62" i="2"/>
  <c r="I70" i="2"/>
  <c r="I78" i="2"/>
  <c r="I86" i="2"/>
  <c r="I94" i="2"/>
  <c r="I102" i="2"/>
  <c r="I26" i="2"/>
  <c r="I90" i="2"/>
  <c r="I7" i="2"/>
  <c r="I15" i="2"/>
  <c r="I23" i="2"/>
  <c r="I31" i="2"/>
  <c r="I39" i="2"/>
  <c r="I47" i="2"/>
  <c r="I55" i="2"/>
  <c r="I63" i="2"/>
  <c r="I71" i="2"/>
  <c r="I79" i="2"/>
  <c r="I87" i="2"/>
  <c r="I95" i="2"/>
  <c r="I50" i="2"/>
  <c r="I98" i="2"/>
  <c r="I8" i="2"/>
  <c r="I16" i="2"/>
  <c r="I24" i="2"/>
  <c r="I32" i="2"/>
  <c r="I40" i="2"/>
  <c r="I48" i="2"/>
  <c r="I56" i="2"/>
  <c r="I64" i="2"/>
  <c r="I72" i="2"/>
  <c r="I80" i="2"/>
  <c r="I88" i="2"/>
  <c r="I96" i="2"/>
  <c r="I10" i="2"/>
  <c r="I74" i="2"/>
  <c r="I9" i="2"/>
  <c r="I17" i="2"/>
  <c r="I25" i="2"/>
  <c r="I33" i="2"/>
  <c r="I41" i="2"/>
  <c r="I49" i="2"/>
  <c r="I57" i="2"/>
  <c r="I65" i="2"/>
  <c r="I73" i="2"/>
  <c r="I81" i="2"/>
  <c r="I89" i="2"/>
  <c r="I97" i="2"/>
  <c r="I18" i="2"/>
  <c r="I66" i="2"/>
  <c r="H3" i="2"/>
  <c r="H11" i="2"/>
  <c r="H19" i="2"/>
  <c r="H27" i="2"/>
  <c r="H35" i="2"/>
  <c r="H43" i="2"/>
  <c r="H51" i="2"/>
  <c r="H59" i="2"/>
  <c r="H67" i="2"/>
  <c r="H75" i="2"/>
  <c r="H83" i="2"/>
  <c r="H91" i="2"/>
  <c r="H99" i="2"/>
  <c r="H25" i="2"/>
  <c r="H65" i="2"/>
  <c r="H26" i="2"/>
  <c r="H98" i="2"/>
  <c r="H4" i="2"/>
  <c r="H12" i="2"/>
  <c r="H20" i="2"/>
  <c r="H28" i="2"/>
  <c r="H36" i="2"/>
  <c r="H44" i="2"/>
  <c r="H52" i="2"/>
  <c r="H60" i="2"/>
  <c r="H68" i="2"/>
  <c r="H76" i="2"/>
  <c r="H84" i="2"/>
  <c r="H92" i="2"/>
  <c r="H100" i="2"/>
  <c r="H102" i="2"/>
  <c r="H49" i="2"/>
  <c r="H81" i="2"/>
  <c r="H18" i="2"/>
  <c r="H58" i="2"/>
  <c r="H5" i="2"/>
  <c r="H13" i="2"/>
  <c r="H21" i="2"/>
  <c r="H29" i="2"/>
  <c r="H37" i="2"/>
  <c r="H45" i="2"/>
  <c r="H53" i="2"/>
  <c r="H61" i="2"/>
  <c r="H69" i="2"/>
  <c r="H77" i="2"/>
  <c r="H85" i="2"/>
  <c r="H93" i="2"/>
  <c r="H101" i="2"/>
  <c r="H17" i="2"/>
  <c r="H89" i="2"/>
  <c r="H34" i="2"/>
  <c r="H90" i="2"/>
  <c r="H6" i="2"/>
  <c r="H14" i="2"/>
  <c r="H22" i="2"/>
  <c r="H30" i="2"/>
  <c r="H38" i="2"/>
  <c r="H46" i="2"/>
  <c r="H54" i="2"/>
  <c r="H62" i="2"/>
  <c r="H70" i="2"/>
  <c r="H78" i="2"/>
  <c r="H86" i="2"/>
  <c r="H94" i="2"/>
  <c r="H41" i="2"/>
  <c r="H73" i="2"/>
  <c r="H42" i="2"/>
  <c r="H82" i="2"/>
  <c r="H7" i="2"/>
  <c r="H15" i="2"/>
  <c r="H23" i="2"/>
  <c r="H31" i="2"/>
  <c r="H39" i="2"/>
  <c r="H47" i="2"/>
  <c r="H55" i="2"/>
  <c r="H63" i="2"/>
  <c r="H71" i="2"/>
  <c r="H79" i="2"/>
  <c r="H87" i="2"/>
  <c r="H95" i="2"/>
  <c r="H33" i="2"/>
  <c r="H97" i="2"/>
  <c r="H50" i="2"/>
  <c r="H74" i="2"/>
  <c r="H8" i="2"/>
  <c r="H16" i="2"/>
  <c r="H24" i="2"/>
  <c r="H32" i="2"/>
  <c r="H40" i="2"/>
  <c r="H48" i="2"/>
  <c r="H56" i="2"/>
  <c r="H64" i="2"/>
  <c r="H72" i="2"/>
  <c r="H80" i="2"/>
  <c r="H88" i="2"/>
  <c r="H96" i="2"/>
  <c r="H9" i="2"/>
  <c r="H57" i="2"/>
  <c r="H10" i="2"/>
  <c r="H66" i="2"/>
  <c r="G3" i="2"/>
  <c r="G11" i="2"/>
  <c r="G19" i="2"/>
  <c r="G27" i="2"/>
  <c r="G35" i="2"/>
  <c r="G43" i="2"/>
  <c r="G51" i="2"/>
  <c r="G59" i="2"/>
  <c r="G67" i="2"/>
  <c r="G75" i="2"/>
  <c r="G83" i="2"/>
  <c r="G91" i="2"/>
  <c r="G99" i="2"/>
  <c r="G34" i="2"/>
  <c r="G82" i="2"/>
  <c r="G4" i="2"/>
  <c r="G12" i="2"/>
  <c r="G20" i="2"/>
  <c r="G28" i="2"/>
  <c r="G36" i="2"/>
  <c r="G44" i="2"/>
  <c r="G52" i="2"/>
  <c r="G60" i="2"/>
  <c r="G68" i="2"/>
  <c r="G76" i="2"/>
  <c r="G84" i="2"/>
  <c r="G92" i="2"/>
  <c r="G100" i="2"/>
  <c r="G101" i="2"/>
  <c r="G50" i="2"/>
  <c r="G5" i="2"/>
  <c r="G13" i="2"/>
  <c r="G21" i="2"/>
  <c r="G29" i="2"/>
  <c r="G37" i="2"/>
  <c r="G45" i="2"/>
  <c r="G53" i="2"/>
  <c r="G61" i="2"/>
  <c r="G69" i="2"/>
  <c r="G77" i="2"/>
  <c r="G85" i="2"/>
  <c r="G93" i="2"/>
  <c r="G58" i="2"/>
  <c r="G98" i="2"/>
  <c r="G6" i="2"/>
  <c r="G14" i="2"/>
  <c r="G22" i="2"/>
  <c r="G30" i="2"/>
  <c r="G38" i="2"/>
  <c r="G46" i="2"/>
  <c r="G54" i="2"/>
  <c r="G62" i="2"/>
  <c r="G70" i="2"/>
  <c r="G78" i="2"/>
  <c r="G86" i="2"/>
  <c r="G94" i="2"/>
  <c r="G102" i="2"/>
  <c r="G26" i="2"/>
  <c r="G90" i="2"/>
  <c r="G7" i="2"/>
  <c r="G15" i="2"/>
  <c r="G23" i="2"/>
  <c r="G31" i="2"/>
  <c r="G39" i="2"/>
  <c r="G47" i="2"/>
  <c r="G55" i="2"/>
  <c r="G63" i="2"/>
  <c r="G71" i="2"/>
  <c r="G79" i="2"/>
  <c r="G87" i="2"/>
  <c r="G95" i="2"/>
  <c r="G42" i="2"/>
  <c r="G8" i="2"/>
  <c r="G16" i="2"/>
  <c r="G24" i="2"/>
  <c r="G32" i="2"/>
  <c r="G40" i="2"/>
  <c r="G48" i="2"/>
  <c r="G56" i="2"/>
  <c r="G64" i="2"/>
  <c r="G72" i="2"/>
  <c r="G80" i="2"/>
  <c r="G88" i="2"/>
  <c r="G96" i="2"/>
  <c r="G89" i="2"/>
  <c r="G10" i="2"/>
  <c r="G74" i="2"/>
  <c r="G9" i="2"/>
  <c r="G17" i="2"/>
  <c r="G25" i="2"/>
  <c r="G33" i="2"/>
  <c r="G41" i="2"/>
  <c r="G49" i="2"/>
  <c r="G57" i="2"/>
  <c r="G65" i="2"/>
  <c r="G73" i="2"/>
  <c r="G81" i="2"/>
  <c r="G97" i="2"/>
  <c r="G18" i="2"/>
  <c r="G66" i="2"/>
  <c r="F3" i="2"/>
  <c r="F11" i="2"/>
  <c r="F19" i="2"/>
  <c r="F27" i="2"/>
  <c r="F35" i="2"/>
  <c r="F43" i="2"/>
  <c r="F51" i="2"/>
  <c r="F59" i="2"/>
  <c r="F67" i="2"/>
  <c r="F75" i="2"/>
  <c r="F83" i="2"/>
  <c r="F91" i="2"/>
  <c r="F99" i="2"/>
  <c r="F32" i="2"/>
  <c r="F80" i="2"/>
  <c r="F9" i="2"/>
  <c r="F49" i="2"/>
  <c r="F89" i="2"/>
  <c r="F18" i="2"/>
  <c r="F66" i="2"/>
  <c r="F4" i="2"/>
  <c r="F12" i="2"/>
  <c r="F20" i="2"/>
  <c r="F28" i="2"/>
  <c r="F36" i="2"/>
  <c r="F44" i="2"/>
  <c r="F52" i="2"/>
  <c r="F60" i="2"/>
  <c r="F68" i="2"/>
  <c r="F76" i="2"/>
  <c r="F84" i="2"/>
  <c r="F92" i="2"/>
  <c r="F100" i="2"/>
  <c r="F24" i="2"/>
  <c r="F56" i="2"/>
  <c r="F25" i="2"/>
  <c r="F65" i="2"/>
  <c r="F10" i="2"/>
  <c r="F50" i="2"/>
  <c r="F90" i="2"/>
  <c r="F5" i="2"/>
  <c r="F13" i="2"/>
  <c r="F21" i="2"/>
  <c r="F29" i="2"/>
  <c r="F37" i="2"/>
  <c r="F45" i="2"/>
  <c r="F53" i="2"/>
  <c r="F61" i="2"/>
  <c r="F69" i="2"/>
  <c r="F77" i="2"/>
  <c r="F85" i="2"/>
  <c r="F93" i="2"/>
  <c r="F101" i="2"/>
  <c r="F16" i="2"/>
  <c r="F48" i="2"/>
  <c r="F88" i="2"/>
  <c r="F41" i="2"/>
  <c r="F81" i="2"/>
  <c r="F34" i="2"/>
  <c r="F74" i="2"/>
  <c r="F6" i="2"/>
  <c r="F14" i="2"/>
  <c r="F22" i="2"/>
  <c r="F30" i="2"/>
  <c r="F38" i="2"/>
  <c r="F46" i="2"/>
  <c r="F54" i="2"/>
  <c r="F62" i="2"/>
  <c r="F70" i="2"/>
  <c r="F78" i="2"/>
  <c r="F86" i="2"/>
  <c r="F94" i="2"/>
  <c r="F102" i="2"/>
  <c r="F8" i="2"/>
  <c r="F64" i="2"/>
  <c r="F17" i="2"/>
  <c r="F57" i="2"/>
  <c r="F97" i="2"/>
  <c r="F42" i="2"/>
  <c r="F82" i="2"/>
  <c r="F98" i="2"/>
  <c r="F7" i="2"/>
  <c r="F15" i="2"/>
  <c r="F23" i="2"/>
  <c r="F31" i="2"/>
  <c r="F39" i="2"/>
  <c r="F47" i="2"/>
  <c r="F55" i="2"/>
  <c r="F63" i="2"/>
  <c r="F71" i="2"/>
  <c r="F79" i="2"/>
  <c r="F87" i="2"/>
  <c r="F95" i="2"/>
  <c r="F40" i="2"/>
  <c r="F72" i="2"/>
  <c r="F96" i="2"/>
  <c r="F33" i="2"/>
  <c r="F73" i="2"/>
  <c r="F26" i="2"/>
  <c r="F58" i="2"/>
  <c r="E3" i="2"/>
  <c r="E11" i="2"/>
  <c r="E19" i="2"/>
  <c r="E27" i="2"/>
  <c r="E35" i="2"/>
  <c r="E43" i="2"/>
  <c r="E51" i="2"/>
  <c r="E59" i="2"/>
  <c r="E67" i="2"/>
  <c r="E75" i="2"/>
  <c r="E83" i="2"/>
  <c r="E91" i="2"/>
  <c r="E99" i="2"/>
  <c r="E21" i="2"/>
  <c r="E37" i="2"/>
  <c r="E53" i="2"/>
  <c r="E77" i="2"/>
  <c r="E93" i="2"/>
  <c r="E73" i="2"/>
  <c r="E10" i="2"/>
  <c r="E50" i="2"/>
  <c r="E98" i="2"/>
  <c r="E4" i="2"/>
  <c r="E12" i="2"/>
  <c r="E20" i="2"/>
  <c r="E28" i="2"/>
  <c r="E36" i="2"/>
  <c r="E44" i="2"/>
  <c r="E52" i="2"/>
  <c r="E60" i="2"/>
  <c r="E68" i="2"/>
  <c r="E76" i="2"/>
  <c r="E84" i="2"/>
  <c r="E92" i="2"/>
  <c r="E100" i="2"/>
  <c r="E13" i="2"/>
  <c r="E29" i="2"/>
  <c r="E45" i="2"/>
  <c r="E61" i="2"/>
  <c r="E69" i="2"/>
  <c r="E85" i="2"/>
  <c r="E101" i="2"/>
  <c r="E81" i="2"/>
  <c r="E26" i="2"/>
  <c r="E74" i="2"/>
  <c r="E5" i="2"/>
  <c r="E6" i="2"/>
  <c r="E14" i="2"/>
  <c r="E22" i="2"/>
  <c r="E30" i="2"/>
  <c r="E38" i="2"/>
  <c r="E46" i="2"/>
  <c r="E54" i="2"/>
  <c r="E62" i="2"/>
  <c r="E70" i="2"/>
  <c r="E78" i="2"/>
  <c r="E86" i="2"/>
  <c r="E94" i="2"/>
  <c r="E102" i="2"/>
  <c r="E87" i="2"/>
  <c r="E95" i="2"/>
  <c r="E25" i="2"/>
  <c r="E41" i="2"/>
  <c r="E65" i="2"/>
  <c r="E97" i="2"/>
  <c r="E42" i="2"/>
  <c r="E82" i="2"/>
  <c r="E7" i="2"/>
  <c r="E15" i="2"/>
  <c r="E23" i="2"/>
  <c r="E31" i="2"/>
  <c r="E39" i="2"/>
  <c r="E47" i="2"/>
  <c r="E55" i="2"/>
  <c r="E63" i="2"/>
  <c r="E71" i="2"/>
  <c r="E79" i="2"/>
  <c r="E18" i="2"/>
  <c r="E66" i="2"/>
  <c r="E8" i="2"/>
  <c r="E16" i="2"/>
  <c r="E24" i="2"/>
  <c r="E32" i="2"/>
  <c r="E40" i="2"/>
  <c r="E48" i="2"/>
  <c r="E56" i="2"/>
  <c r="E64" i="2"/>
  <c r="E72" i="2"/>
  <c r="E80" i="2"/>
  <c r="E88" i="2"/>
  <c r="E96" i="2"/>
  <c r="E9" i="2"/>
  <c r="E17" i="2"/>
  <c r="E33" i="2"/>
  <c r="E49" i="2"/>
  <c r="E57" i="2"/>
  <c r="E89" i="2"/>
  <c r="E34" i="2"/>
  <c r="E58" i="2"/>
  <c r="E90" i="2"/>
  <c r="C22" i="4" l="1"/>
  <c r="C21" i="4"/>
  <c r="C20" i="4"/>
  <c r="C19" i="4"/>
  <c r="J2" i="2"/>
  <c r="I2" i="2"/>
  <c r="H2" i="2"/>
  <c r="G2" i="2"/>
  <c r="F2" i="2"/>
  <c r="E2" i="2"/>
  <c r="C22" i="3" l="1"/>
  <c r="C21" i="3"/>
  <c r="C20" i="3"/>
  <c r="C19" i="3"/>
  <c r="C22" i="1" l="1"/>
  <c r="C21" i="1"/>
  <c r="C20" i="1"/>
  <c r="C19" i="1"/>
</calcChain>
</file>

<file path=xl/sharedStrings.xml><?xml version="1.0" encoding="utf-8"?>
<sst xmlns="http://schemas.openxmlformats.org/spreadsheetml/2006/main" count="64" uniqueCount="35">
  <si>
    <t>Simulating Stock Prices</t>
  </si>
  <si>
    <t>Stock Price at T0</t>
  </si>
  <si>
    <t>Expected Return</t>
  </si>
  <si>
    <t>Standard Deviation of Return</t>
  </si>
  <si>
    <t>End Time</t>
  </si>
  <si>
    <t>The Number of Increments</t>
  </si>
  <si>
    <t>Expected Jump Size</t>
  </si>
  <si>
    <t>Volatility of the Jump Size</t>
  </si>
  <si>
    <t>The Number of Price Paths</t>
  </si>
  <si>
    <t>Stock Price</t>
  </si>
  <si>
    <t>Mean</t>
  </si>
  <si>
    <t>Skewness</t>
  </si>
  <si>
    <t>Kurtosis</t>
  </si>
  <si>
    <t>Standard Deviation</t>
  </si>
  <si>
    <t>Lambda</t>
  </si>
  <si>
    <t>Simulating Option Prices</t>
  </si>
  <si>
    <t>The Number Iterations</t>
  </si>
  <si>
    <t>Strike Price</t>
  </si>
  <si>
    <t>Option Present Value</t>
  </si>
  <si>
    <t>Simulating Digital Option Prices</t>
  </si>
  <si>
    <t>Option Present Value By Formula</t>
  </si>
  <si>
    <t>Option Present Value by Simulation</t>
  </si>
  <si>
    <t>Call or Put</t>
  </si>
  <si>
    <t>S0</t>
  </si>
  <si>
    <t>r</t>
  </si>
  <si>
    <t>T</t>
  </si>
  <si>
    <t>K</t>
  </si>
  <si>
    <t>Option</t>
  </si>
  <si>
    <t>Delta</t>
  </si>
  <si>
    <t>Gamma</t>
  </si>
  <si>
    <t>Vega</t>
  </si>
  <si>
    <t>Theta</t>
  </si>
  <si>
    <t>Rho</t>
  </si>
  <si>
    <t>SteDev</t>
  </si>
  <si>
    <t>Call or Put Option(For Call Option please input 0, for put option please input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</si>
</sst>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6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Simulating Stock Prices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Sheet1!$D$2:$D$251</c:f>
              <c:numCache>
                <c:formatCode>General</c:formatCode>
                <c:ptCount val="250"/>
                <c:pt idx="0">
                  <c:v>10.020786886383073</c:v>
                </c:pt>
                <c:pt idx="1">
                  <c:v>9.9481707806709636</c:v>
                </c:pt>
                <c:pt idx="2">
                  <c:v>10.066064963621461</c:v>
                </c:pt>
                <c:pt idx="3">
                  <c:v>10.252169647846024</c:v>
                </c:pt>
                <c:pt idx="4">
                  <c:v>10.206905420216524</c:v>
                </c:pt>
                <c:pt idx="5">
                  <c:v>10.150672104214268</c:v>
                </c:pt>
                <c:pt idx="6">
                  <c:v>9.9207785678052112</c:v>
                </c:pt>
                <c:pt idx="7">
                  <c:v>10.04937032292978</c:v>
                </c:pt>
                <c:pt idx="8">
                  <c:v>10.106811906951712</c:v>
                </c:pt>
                <c:pt idx="9">
                  <c:v>10.114427970001</c:v>
                </c:pt>
                <c:pt idx="10">
                  <c:v>10.057460704702171</c:v>
                </c:pt>
                <c:pt idx="11">
                  <c:v>10.0549160011282</c:v>
                </c:pt>
                <c:pt idx="12">
                  <c:v>10.163239149637796</c:v>
                </c:pt>
                <c:pt idx="13">
                  <c:v>10.198019085248493</c:v>
                </c:pt>
                <c:pt idx="14">
                  <c:v>10.170096268507953</c:v>
                </c:pt>
                <c:pt idx="15">
                  <c:v>10.115743229865762</c:v>
                </c:pt>
                <c:pt idx="16">
                  <c:v>9.7757792673465875</c:v>
                </c:pt>
                <c:pt idx="17">
                  <c:v>9.9373917517184065</c:v>
                </c:pt>
                <c:pt idx="18">
                  <c:v>9.8401404865520767</c:v>
                </c:pt>
                <c:pt idx="19">
                  <c:v>9.8987955139464194</c:v>
                </c:pt>
                <c:pt idx="20">
                  <c:v>10.229957689970201</c:v>
                </c:pt>
                <c:pt idx="21">
                  <c:v>10.34892314724947</c:v>
                </c:pt>
                <c:pt idx="22">
                  <c:v>10.305115410862525</c:v>
                </c:pt>
                <c:pt idx="23">
                  <c:v>10.173414300598299</c:v>
                </c:pt>
                <c:pt idx="24">
                  <c:v>10.154929892423576</c:v>
                </c:pt>
                <c:pt idx="25">
                  <c:v>10.100660340981317</c:v>
                </c:pt>
                <c:pt idx="26">
                  <c:v>10.164517162435093</c:v>
                </c:pt>
                <c:pt idx="27">
                  <c:v>10.064741155109106</c:v>
                </c:pt>
                <c:pt idx="28">
                  <c:v>10.050803248729498</c:v>
                </c:pt>
                <c:pt idx="29">
                  <c:v>10.0539017194415</c:v>
                </c:pt>
                <c:pt idx="30">
                  <c:v>10.127443662740133</c:v>
                </c:pt>
                <c:pt idx="31">
                  <c:v>10.178421045194828</c:v>
                </c:pt>
                <c:pt idx="32">
                  <c:v>10.02061231067621</c:v>
                </c:pt>
                <c:pt idx="33">
                  <c:v>10.272871756194229</c:v>
                </c:pt>
                <c:pt idx="34">
                  <c:v>10.156377627868492</c:v>
                </c:pt>
                <c:pt idx="35">
                  <c:v>9.9730942416938539</c:v>
                </c:pt>
                <c:pt idx="36">
                  <c:v>10.157542873308168</c:v>
                </c:pt>
                <c:pt idx="37">
                  <c:v>10.144020801589571</c:v>
                </c:pt>
                <c:pt idx="38">
                  <c:v>10.153357953481423</c:v>
                </c:pt>
                <c:pt idx="39">
                  <c:v>10.130445887669575</c:v>
                </c:pt>
                <c:pt idx="40">
                  <c:v>10.09418173895147</c:v>
                </c:pt>
                <c:pt idx="41">
                  <c:v>10.004779768316775</c:v>
                </c:pt>
                <c:pt idx="42">
                  <c:v>9.9700140422674224</c:v>
                </c:pt>
                <c:pt idx="43">
                  <c:v>9.9636508561878045</c:v>
                </c:pt>
                <c:pt idx="44">
                  <c:v>9.9381978618028004</c:v>
                </c:pt>
                <c:pt idx="45">
                  <c:v>10.004597174678629</c:v>
                </c:pt>
                <c:pt idx="46">
                  <c:v>9.8540820678524703</c:v>
                </c:pt>
                <c:pt idx="47">
                  <c:v>9.7984667547164754</c:v>
                </c:pt>
                <c:pt idx="48">
                  <c:v>9.9615958098613113</c:v>
                </c:pt>
                <c:pt idx="49">
                  <c:v>8.7883664822519894</c:v>
                </c:pt>
                <c:pt idx="50">
                  <c:v>8.7802735884916299</c:v>
                </c:pt>
                <c:pt idx="51">
                  <c:v>8.7968285984178891</c:v>
                </c:pt>
                <c:pt idx="52">
                  <c:v>8.6945493129233107</c:v>
                </c:pt>
                <c:pt idx="53">
                  <c:v>8.7475970827964282</c:v>
                </c:pt>
                <c:pt idx="54">
                  <c:v>8.606443900872236</c:v>
                </c:pt>
                <c:pt idx="55">
                  <c:v>8.4621283264902996</c:v>
                </c:pt>
                <c:pt idx="56">
                  <c:v>8.5261209967792393</c:v>
                </c:pt>
                <c:pt idx="57">
                  <c:v>8.4656050342134961</c:v>
                </c:pt>
                <c:pt idx="58">
                  <c:v>8.5270571447334476</c:v>
                </c:pt>
                <c:pt idx="59">
                  <c:v>8.499425865516649</c:v>
                </c:pt>
                <c:pt idx="60">
                  <c:v>8.4661121443674894</c:v>
                </c:pt>
                <c:pt idx="61">
                  <c:v>8.3981015523853326</c:v>
                </c:pt>
                <c:pt idx="62">
                  <c:v>8.3563951437293067</c:v>
                </c:pt>
                <c:pt idx="63">
                  <c:v>8.4261818734004912</c:v>
                </c:pt>
                <c:pt idx="64">
                  <c:v>8.4400413070411027</c:v>
                </c:pt>
                <c:pt idx="65">
                  <c:v>8.3914579984606572</c:v>
                </c:pt>
                <c:pt idx="66">
                  <c:v>8.3681156599791251</c:v>
                </c:pt>
                <c:pt idx="67">
                  <c:v>8.5136282285863629</c:v>
                </c:pt>
                <c:pt idx="68">
                  <c:v>8.456696460072763</c:v>
                </c:pt>
                <c:pt idx="69">
                  <c:v>8.63354266506607</c:v>
                </c:pt>
                <c:pt idx="70">
                  <c:v>8.5510985370048704</c:v>
                </c:pt>
                <c:pt idx="71">
                  <c:v>8.6109284339151984</c:v>
                </c:pt>
                <c:pt idx="72">
                  <c:v>8.7074875768868836</c:v>
                </c:pt>
                <c:pt idx="73">
                  <c:v>8.8421964467544054</c:v>
                </c:pt>
                <c:pt idx="74">
                  <c:v>8.8380164758570334</c:v>
                </c:pt>
                <c:pt idx="75">
                  <c:v>8.821740161814601</c:v>
                </c:pt>
                <c:pt idx="76">
                  <c:v>8.983960741869641</c:v>
                </c:pt>
                <c:pt idx="77">
                  <c:v>9.0270442644040703</c:v>
                </c:pt>
                <c:pt idx="78">
                  <c:v>9.1174014521487567</c:v>
                </c:pt>
                <c:pt idx="79">
                  <c:v>9.1009799848272035</c:v>
                </c:pt>
                <c:pt idx="80">
                  <c:v>9.1360516767536897</c:v>
                </c:pt>
                <c:pt idx="81">
                  <c:v>9.4811308280459556</c:v>
                </c:pt>
                <c:pt idx="82">
                  <c:v>9.3332781412129187</c:v>
                </c:pt>
                <c:pt idx="83">
                  <c:v>9.3510368742299725</c:v>
                </c:pt>
                <c:pt idx="84">
                  <c:v>9.3522454406344497</c:v>
                </c:pt>
                <c:pt idx="85">
                  <c:v>9.350554549898801</c:v>
                </c:pt>
                <c:pt idx="86">
                  <c:v>9.2983533172199397</c:v>
                </c:pt>
                <c:pt idx="87">
                  <c:v>9.3446882821845509</c:v>
                </c:pt>
                <c:pt idx="88">
                  <c:v>9.2950781415616159</c:v>
                </c:pt>
                <c:pt idx="89">
                  <c:v>9.4693588694284774</c:v>
                </c:pt>
                <c:pt idx="90">
                  <c:v>9.5359101066324428</c:v>
                </c:pt>
                <c:pt idx="91">
                  <c:v>9.3816783758591367</c:v>
                </c:pt>
                <c:pt idx="92">
                  <c:v>9.3864934183798248</c:v>
                </c:pt>
                <c:pt idx="93">
                  <c:v>9.5298020449687382</c:v>
                </c:pt>
                <c:pt idx="94">
                  <c:v>9.5016223206618324</c:v>
                </c:pt>
                <c:pt idx="95">
                  <c:v>9.4372486048914936</c:v>
                </c:pt>
                <c:pt idx="96">
                  <c:v>9.4608716611424164</c:v>
                </c:pt>
                <c:pt idx="97">
                  <c:v>9.3591154805183443</c:v>
                </c:pt>
                <c:pt idx="98">
                  <c:v>9.5723946844455376</c:v>
                </c:pt>
                <c:pt idx="99">
                  <c:v>9.4454903324665</c:v>
                </c:pt>
                <c:pt idx="100">
                  <c:v>9.5089373339568031</c:v>
                </c:pt>
                <c:pt idx="101">
                  <c:v>9.4994602467346692</c:v>
                </c:pt>
                <c:pt idx="102">
                  <c:v>9.6098374269754157</c:v>
                </c:pt>
                <c:pt idx="103">
                  <c:v>9.6341056940571743</c:v>
                </c:pt>
                <c:pt idx="104">
                  <c:v>9.5343225634992823</c:v>
                </c:pt>
                <c:pt idx="105">
                  <c:v>9.5554306191930465</c:v>
                </c:pt>
                <c:pt idx="106">
                  <c:v>9.6570810786759402</c:v>
                </c:pt>
                <c:pt idx="107">
                  <c:v>9.4266122561474077</c:v>
                </c:pt>
                <c:pt idx="108">
                  <c:v>9.2296044435276716</c:v>
                </c:pt>
                <c:pt idx="109">
                  <c:v>9.1009376331992105</c:v>
                </c:pt>
                <c:pt idx="110">
                  <c:v>9.1360370756223084</c:v>
                </c:pt>
                <c:pt idx="111">
                  <c:v>9.3359898575598237</c:v>
                </c:pt>
                <c:pt idx="112">
                  <c:v>9.2854677907427963</c:v>
                </c:pt>
                <c:pt idx="113">
                  <c:v>9.1087531630736951</c:v>
                </c:pt>
                <c:pt idx="114">
                  <c:v>9.0762052364401509</c:v>
                </c:pt>
                <c:pt idx="115">
                  <c:v>9.0272189015352939</c:v>
                </c:pt>
                <c:pt idx="116">
                  <c:v>9.12295241148637</c:v>
                </c:pt>
                <c:pt idx="117">
                  <c:v>8.9047982829571275</c:v>
                </c:pt>
                <c:pt idx="118">
                  <c:v>8.763608300054452</c:v>
                </c:pt>
                <c:pt idx="119">
                  <c:v>8.6458102992126982</c:v>
                </c:pt>
                <c:pt idx="120">
                  <c:v>12.086774532259117</c:v>
                </c:pt>
                <c:pt idx="121">
                  <c:v>12.104112581512011</c:v>
                </c:pt>
                <c:pt idx="122">
                  <c:v>11.942554006196058</c:v>
                </c:pt>
                <c:pt idx="123">
                  <c:v>12.243482608954757</c:v>
                </c:pt>
                <c:pt idx="124">
                  <c:v>12.389629331433635</c:v>
                </c:pt>
                <c:pt idx="125">
                  <c:v>12.213517714851335</c:v>
                </c:pt>
                <c:pt idx="126">
                  <c:v>12.157245033386998</c:v>
                </c:pt>
                <c:pt idx="127">
                  <c:v>12.10576748655939</c:v>
                </c:pt>
                <c:pt idx="128">
                  <c:v>12.173989507340767</c:v>
                </c:pt>
                <c:pt idx="129">
                  <c:v>12.268391671535381</c:v>
                </c:pt>
                <c:pt idx="130">
                  <c:v>12.361146788871265</c:v>
                </c:pt>
                <c:pt idx="131">
                  <c:v>12.335618230229342</c:v>
                </c:pt>
                <c:pt idx="132">
                  <c:v>12.161835548972428</c:v>
                </c:pt>
                <c:pt idx="133">
                  <c:v>12.223621522643935</c:v>
                </c:pt>
                <c:pt idx="134">
                  <c:v>12.143142293606672</c:v>
                </c:pt>
                <c:pt idx="135">
                  <c:v>12.1826412454114</c:v>
                </c:pt>
                <c:pt idx="136">
                  <c:v>12.082687594631041</c:v>
                </c:pt>
                <c:pt idx="137">
                  <c:v>11.950466909953601</c:v>
                </c:pt>
                <c:pt idx="138">
                  <c:v>11.884981826098317</c:v>
                </c:pt>
                <c:pt idx="139">
                  <c:v>11.91546998133075</c:v>
                </c:pt>
                <c:pt idx="140">
                  <c:v>11.831224462855593</c:v>
                </c:pt>
                <c:pt idx="141">
                  <c:v>11.808377501515812</c:v>
                </c:pt>
                <c:pt idx="142">
                  <c:v>11.748273744114931</c:v>
                </c:pt>
                <c:pt idx="143">
                  <c:v>11.910455166403986</c:v>
                </c:pt>
                <c:pt idx="144">
                  <c:v>11.89274039394604</c:v>
                </c:pt>
                <c:pt idx="145">
                  <c:v>11.915467671170997</c:v>
                </c:pt>
                <c:pt idx="146">
                  <c:v>11.74852315946425</c:v>
                </c:pt>
                <c:pt idx="147">
                  <c:v>11.676374254400761</c:v>
                </c:pt>
                <c:pt idx="148">
                  <c:v>11.693185299459296</c:v>
                </c:pt>
                <c:pt idx="149">
                  <c:v>11.762010483761477</c:v>
                </c:pt>
                <c:pt idx="150">
                  <c:v>11.895764156739981</c:v>
                </c:pt>
                <c:pt idx="151">
                  <c:v>12.128685803857651</c:v>
                </c:pt>
                <c:pt idx="152">
                  <c:v>12.176153137049152</c:v>
                </c:pt>
                <c:pt idx="153">
                  <c:v>12.100054842539542</c:v>
                </c:pt>
                <c:pt idx="154">
                  <c:v>11.759404517371559</c:v>
                </c:pt>
                <c:pt idx="155">
                  <c:v>11.717351199679461</c:v>
                </c:pt>
                <c:pt idx="156">
                  <c:v>11.718964861756263</c:v>
                </c:pt>
                <c:pt idx="157">
                  <c:v>11.87860253637365</c:v>
                </c:pt>
                <c:pt idx="158">
                  <c:v>11.831501628239689</c:v>
                </c:pt>
                <c:pt idx="159">
                  <c:v>11.811647455297644</c:v>
                </c:pt>
                <c:pt idx="160">
                  <c:v>11.725687894815568</c:v>
                </c:pt>
                <c:pt idx="161">
                  <c:v>11.55177385664704</c:v>
                </c:pt>
                <c:pt idx="162">
                  <c:v>11.321646610862601</c:v>
                </c:pt>
                <c:pt idx="163">
                  <c:v>11.337436494738933</c:v>
                </c:pt>
                <c:pt idx="164">
                  <c:v>11.463210442690379</c:v>
                </c:pt>
                <c:pt idx="165">
                  <c:v>11.575613172744852</c:v>
                </c:pt>
                <c:pt idx="166">
                  <c:v>11.469752604744043</c:v>
                </c:pt>
                <c:pt idx="167">
                  <c:v>11.370814652992943</c:v>
                </c:pt>
                <c:pt idx="168">
                  <c:v>11.252704411290345</c:v>
                </c:pt>
                <c:pt idx="169">
                  <c:v>11.448702544733434</c:v>
                </c:pt>
                <c:pt idx="170">
                  <c:v>11.483659870348578</c:v>
                </c:pt>
                <c:pt idx="171">
                  <c:v>11.58988505389665</c:v>
                </c:pt>
                <c:pt idx="172">
                  <c:v>11.535678304101078</c:v>
                </c:pt>
                <c:pt idx="173">
                  <c:v>11.533582574574828</c:v>
                </c:pt>
                <c:pt idx="174">
                  <c:v>11.682327242723019</c:v>
                </c:pt>
                <c:pt idx="175">
                  <c:v>11.665289134003581</c:v>
                </c:pt>
                <c:pt idx="176">
                  <c:v>11.631989307993781</c:v>
                </c:pt>
                <c:pt idx="177">
                  <c:v>11.799708116237676</c:v>
                </c:pt>
                <c:pt idx="178">
                  <c:v>11.678299110853022</c:v>
                </c:pt>
                <c:pt idx="179">
                  <c:v>11.599986356202598</c:v>
                </c:pt>
                <c:pt idx="180">
                  <c:v>11.517597785866519</c:v>
                </c:pt>
                <c:pt idx="181">
                  <c:v>11.441513502222175</c:v>
                </c:pt>
                <c:pt idx="182">
                  <c:v>11.642289839679073</c:v>
                </c:pt>
                <c:pt idx="183">
                  <c:v>11.6164281060008</c:v>
                </c:pt>
                <c:pt idx="184">
                  <c:v>11.474546805524536</c:v>
                </c:pt>
                <c:pt idx="185">
                  <c:v>11.443994989532078</c:v>
                </c:pt>
                <c:pt idx="186">
                  <c:v>11.531969094013231</c:v>
                </c:pt>
                <c:pt idx="187">
                  <c:v>11.577792576912119</c:v>
                </c:pt>
                <c:pt idx="188">
                  <c:v>11.958288873100638</c:v>
                </c:pt>
                <c:pt idx="189">
                  <c:v>12.060686544952159</c:v>
                </c:pt>
                <c:pt idx="190">
                  <c:v>12.024849571061019</c:v>
                </c:pt>
                <c:pt idx="191">
                  <c:v>12.147240682026274</c:v>
                </c:pt>
                <c:pt idx="192">
                  <c:v>12.514712083641527</c:v>
                </c:pt>
                <c:pt idx="193">
                  <c:v>12.394182946313254</c:v>
                </c:pt>
                <c:pt idx="194">
                  <c:v>12.282653996074933</c:v>
                </c:pt>
                <c:pt idx="195">
                  <c:v>12.275577278455749</c:v>
                </c:pt>
                <c:pt idx="196">
                  <c:v>12.103501374381313</c:v>
                </c:pt>
                <c:pt idx="197">
                  <c:v>12.160469153759461</c:v>
                </c:pt>
                <c:pt idx="198">
                  <c:v>12.168576815931658</c:v>
                </c:pt>
                <c:pt idx="199">
                  <c:v>12.12742308009239</c:v>
                </c:pt>
                <c:pt idx="200">
                  <c:v>12.191549396637129</c:v>
                </c:pt>
                <c:pt idx="201">
                  <c:v>12.071531866967723</c:v>
                </c:pt>
                <c:pt idx="202">
                  <c:v>11.845662105161198</c:v>
                </c:pt>
                <c:pt idx="203">
                  <c:v>12.008860755836681</c:v>
                </c:pt>
                <c:pt idx="204">
                  <c:v>12.042849826369038</c:v>
                </c:pt>
                <c:pt idx="205">
                  <c:v>11.762843241747422</c:v>
                </c:pt>
                <c:pt idx="206">
                  <c:v>11.848093194363024</c:v>
                </c:pt>
                <c:pt idx="207">
                  <c:v>11.794079020232267</c:v>
                </c:pt>
                <c:pt idx="208">
                  <c:v>11.66288733675977</c:v>
                </c:pt>
                <c:pt idx="209">
                  <c:v>11.691700649244082</c:v>
                </c:pt>
                <c:pt idx="210">
                  <c:v>11.819470212625907</c:v>
                </c:pt>
                <c:pt idx="211">
                  <c:v>12.263508570664206</c:v>
                </c:pt>
                <c:pt idx="212">
                  <c:v>12.26602044839828</c:v>
                </c:pt>
                <c:pt idx="213">
                  <c:v>12.146327737168841</c:v>
                </c:pt>
                <c:pt idx="214">
                  <c:v>12.227248122006088</c:v>
                </c:pt>
                <c:pt idx="215">
                  <c:v>11.965656894183901</c:v>
                </c:pt>
                <c:pt idx="216">
                  <c:v>12.120303049494359</c:v>
                </c:pt>
                <c:pt idx="217">
                  <c:v>12.21285013627222</c:v>
                </c:pt>
                <c:pt idx="218">
                  <c:v>12.121849350560689</c:v>
                </c:pt>
                <c:pt idx="219">
                  <c:v>12.079051597476425</c:v>
                </c:pt>
                <c:pt idx="220">
                  <c:v>11.991139750845807</c:v>
                </c:pt>
                <c:pt idx="221">
                  <c:v>12.094646622662825</c:v>
                </c:pt>
                <c:pt idx="222">
                  <c:v>12.067855349421954</c:v>
                </c:pt>
                <c:pt idx="223">
                  <c:v>11.841706718928295</c:v>
                </c:pt>
                <c:pt idx="224">
                  <c:v>11.688064099605437</c:v>
                </c:pt>
                <c:pt idx="225">
                  <c:v>11.627968522211537</c:v>
                </c:pt>
                <c:pt idx="226">
                  <c:v>11.652959087165964</c:v>
                </c:pt>
                <c:pt idx="227">
                  <c:v>11.759291229409648</c:v>
                </c:pt>
                <c:pt idx="228">
                  <c:v>11.782068806963103</c:v>
                </c:pt>
                <c:pt idx="229">
                  <c:v>11.756600287093937</c:v>
                </c:pt>
                <c:pt idx="230">
                  <c:v>11.576374247063354</c:v>
                </c:pt>
                <c:pt idx="231">
                  <c:v>11.496494343751527</c:v>
                </c:pt>
                <c:pt idx="232">
                  <c:v>11.665142366740387</c:v>
                </c:pt>
                <c:pt idx="233">
                  <c:v>11.60794887881203</c:v>
                </c:pt>
                <c:pt idx="234">
                  <c:v>11.216813771601295</c:v>
                </c:pt>
                <c:pt idx="235">
                  <c:v>11.045357669084016</c:v>
                </c:pt>
                <c:pt idx="236">
                  <c:v>10.945071950668289</c:v>
                </c:pt>
                <c:pt idx="237">
                  <c:v>10.876552726928395</c:v>
                </c:pt>
                <c:pt idx="238">
                  <c:v>10.763365895491521</c:v>
                </c:pt>
                <c:pt idx="239">
                  <c:v>10.892140245032342</c:v>
                </c:pt>
                <c:pt idx="240">
                  <c:v>10.647999076177072</c:v>
                </c:pt>
                <c:pt idx="241">
                  <c:v>10.839963628394411</c:v>
                </c:pt>
                <c:pt idx="242">
                  <c:v>11.711797174506286</c:v>
                </c:pt>
                <c:pt idx="243">
                  <c:v>11.558837933727855</c:v>
                </c:pt>
                <c:pt idx="244">
                  <c:v>11.68179130321899</c:v>
                </c:pt>
                <c:pt idx="245">
                  <c:v>11.547491507908038</c:v>
                </c:pt>
                <c:pt idx="246">
                  <c:v>11.17178884600591</c:v>
                </c:pt>
                <c:pt idx="247">
                  <c:v>11.152917518229602</c:v>
                </c:pt>
                <c:pt idx="248">
                  <c:v>11.331768309592576</c:v>
                </c:pt>
                <c:pt idx="249">
                  <c:v>11.610978135251109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4971520"/>
        <c:axId val="1634967168"/>
      </c:lineChart>
      <c:catAx>
        <c:axId val="1634971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967168"/>
        <c:crosses val="autoZero"/>
        <c:auto val="1"/>
        <c:lblAlgn val="ctr"/>
        <c:lblOffset val="100"/>
        <c:noMultiLvlLbl val="0"/>
      </c:catAx>
      <c:valAx>
        <c:axId val="163496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97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Sheet2!$E$2:$E$102</c:f>
              <c:numCache>
                <c:formatCode>General</c:formatCode>
                <c:ptCount val="101"/>
                <c:pt idx="0">
                  <c:v>0</c:v>
                </c:pt>
                <c:pt idx="1">
                  <c:v>1.5609719247529504E-84</c:v>
                </c:pt>
                <c:pt idx="2">
                  <c:v>9.342656080825965E-58</c:v>
                </c:pt>
                <c:pt idx="3">
                  <c:v>1.7125924543297964E-44</c:v>
                </c:pt>
                <c:pt idx="4">
                  <c:v>3.7337365357800028E-36</c:v>
                </c:pt>
                <c:pt idx="5">
                  <c:v>2.6836435331096372E-30</c:v>
                </c:pt>
                <c:pt idx="6">
                  <c:v>6.5834771122984748E-26</c:v>
                </c:pt>
                <c:pt idx="7">
                  <c:v>1.7913425549052379E-22</c:v>
                </c:pt>
                <c:pt idx="8">
                  <c:v>1.0569684995724303E-19</c:v>
                </c:pt>
                <c:pt idx="9">
                  <c:v>2.0468974266839185E-17</c:v>
                </c:pt>
                <c:pt idx="10">
                  <c:v>1.7082517656588832E-15</c:v>
                </c:pt>
                <c:pt idx="11">
                  <c:v>7.4109739697720967E-14</c:v>
                </c:pt>
                <c:pt idx="12">
                  <c:v>1.9110752640776334E-12</c:v>
                </c:pt>
                <c:pt idx="13">
                  <c:v>3.2332727314612107E-11</c:v>
                </c:pt>
                <c:pt idx="14">
                  <c:v>3.8668993522746087E-10</c:v>
                </c:pt>
                <c:pt idx="15">
                  <c:v>3.4628509714063893E-9</c:v>
                </c:pt>
                <c:pt idx="16">
                  <c:v>2.4293663027771789E-8</c:v>
                </c:pt>
                <c:pt idx="17">
                  <c:v>1.3842475316407126E-7</c:v>
                </c:pt>
                <c:pt idx="18">
                  <c:v>6.5959597392611206E-7</c:v>
                </c:pt>
                <c:pt idx="19">
                  <c:v>2.6919823701847023E-6</c:v>
                </c:pt>
                <c:pt idx="20">
                  <c:v>9.5983152510306148E-6</c:v>
                </c:pt>
                <c:pt idx="21">
                  <c:v>3.0397216822064142E-5</c:v>
                </c:pt>
                <c:pt idx="22">
                  <c:v>8.6705949314496442E-5</c:v>
                </c:pt>
                <c:pt idx="23">
                  <c:v>2.2541896157672603E-4</c:v>
                </c:pt>
                <c:pt idx="24">
                  <c:v>5.3959354445567813E-4</c:v>
                </c:pt>
                <c:pt idx="25">
                  <c:v>1.1997087766548627E-3</c:v>
                </c:pt>
                <c:pt idx="26">
                  <c:v>2.4963744535785107E-3</c:v>
                </c:pt>
                <c:pt idx="27">
                  <c:v>4.8937039726662246E-3</c:v>
                </c:pt>
                <c:pt idx="28">
                  <c:v>9.0901990051417692E-3</c:v>
                </c:pt>
                <c:pt idx="29">
                  <c:v>1.608160638146594E-2</c:v>
                </c:pt>
                <c:pt idx="30">
                  <c:v>2.7218365035210079E-2</c:v>
                </c:pt>
                <c:pt idx="31">
                  <c:v>4.4249450703820026E-2</c:v>
                </c:pt>
                <c:pt idx="32">
                  <c:v>6.9344919854563591E-2</c:v>
                </c:pt>
                <c:pt idx="33">
                  <c:v>0.10509123815668775</c:v>
                </c:pt>
                <c:pt idx="34">
                  <c:v>0.15445626751787223</c:v>
                </c:pt>
                <c:pt idx="35">
                  <c:v>0.22072410510768359</c:v>
                </c:pt>
                <c:pt idx="36">
                  <c:v>0.30740327325811068</c:v>
                </c:pt>
                <c:pt idx="37">
                  <c:v>0.41811455328174496</c:v>
                </c:pt>
                <c:pt idx="38">
                  <c:v>0.55646667765479663</c:v>
                </c:pt>
                <c:pt idx="39">
                  <c:v>0.72592896334984403</c:v>
                </c:pt>
                <c:pt idx="40">
                  <c:v>0.92970978640608681</c:v>
                </c:pt>
                <c:pt idx="41">
                  <c:v>1.1706487157227432</c:v>
                </c:pt>
                <c:pt idx="42">
                  <c:v>1.451128391703735</c:v>
                </c:pt>
                <c:pt idx="43">
                  <c:v>1.7730101427432441</c:v>
                </c:pt>
                <c:pt idx="44">
                  <c:v>2.1375951605377779</c:v>
                </c:pt>
                <c:pt idx="45">
                  <c:v>2.5456110394087759</c:v>
                </c:pt>
                <c:pt idx="46">
                  <c:v>2.9972217949995184</c:v>
                </c:pt>
                <c:pt idx="47">
                  <c:v>3.4920582120461958</c:v>
                </c:pt>
                <c:pt idx="48">
                  <c:v>4.0292645614710487</c:v>
                </c:pt>
                <c:pt idx="49">
                  <c:v>4.6075573524136288</c:v>
                </c:pt>
                <c:pt idx="50">
                  <c:v>5.2252917860927823</c:v>
                </c:pt>
                <c:pt idx="51">
                  <c:v>5.8805318751806794</c:v>
                </c:pt>
                <c:pt idx="52">
                  <c:v>6.571120696789734</c:v>
                </c:pt>
                <c:pt idx="53">
                  <c:v>7.2947478746788299</c:v>
                </c:pt>
                <c:pt idx="54">
                  <c:v>8.0490120629705402</c:v>
                </c:pt>
                <c:pt idx="55">
                  <c:v>8.8314768702952193</c:v>
                </c:pt>
                <c:pt idx="56">
                  <c:v>9.6397192765938584</c:v>
                </c:pt>
                <c:pt idx="57">
                  <c:v>10.471370126900467</c:v>
                </c:pt>
                <c:pt idx="58">
                  <c:v>11.324146722759991</c:v>
                </c:pt>
                <c:pt idx="59">
                  <c:v>12.195877868779959</c:v>
                </c:pt>
                <c:pt idx="60">
                  <c:v>13.084521973423648</c:v>
                </c:pt>
                <c:pt idx="61">
                  <c:v>13.988178959149224</c:v>
                </c:pt>
                <c:pt idx="62">
                  <c:v>14.905096820083777</c:v>
                </c:pt>
                <c:pt idx="63">
                  <c:v>15.833673689533853</c:v>
                </c:pt>
                <c:pt idx="64">
                  <c:v>16.772456258594403</c:v>
                </c:pt>
                <c:pt idx="65">
                  <c:v>17.720135333694998</c:v>
                </c:pt>
                <c:pt idx="66">
                  <c:v>18.675539246269182</c:v>
                </c:pt>
                <c:pt idx="67">
                  <c:v>19.637625741133022</c:v>
                </c:pt>
                <c:pt idx="68">
                  <c:v>20.605472878972748</c:v>
                </c:pt>
                <c:pt idx="69">
                  <c:v>21.578269398118941</c:v>
                </c:pt>
                <c:pt idx="70">
                  <c:v>22.555304895462413</c:v>
                </c:pt>
                <c:pt idx="71">
                  <c:v>23.535960108509563</c:v>
                </c:pt>
                <c:pt idx="72">
                  <c:v>24.51969751164382</c:v>
                </c:pt>
                <c:pt idx="73">
                  <c:v>25.506052380247397</c:v>
                </c:pt>
                <c:pt idx="74">
                  <c:v>26.494624426407633</c:v>
                </c:pt>
                <c:pt idx="75">
                  <c:v>27.485070068999597</c:v>
                </c:pt>
                <c:pt idx="76">
                  <c:v>28.477095368235055</c:v>
                </c:pt>
                <c:pt idx="77">
                  <c:v>29.470449629371231</c:v>
                </c:pt>
                <c:pt idx="78">
                  <c:v>30.464919661191175</c:v>
                </c:pt>
                <c:pt idx="79">
                  <c:v>31.460324661116225</c:v>
                </c:pt>
                <c:pt idx="80">
                  <c:v>32.456511689457507</c:v>
                </c:pt>
                <c:pt idx="81">
                  <c:v>33.453351689506206</c:v>
                </c:pt>
                <c:pt idx="82">
                  <c:v>34.450736007146155</c:v>
                </c:pt>
                <c:pt idx="83">
                  <c:v>35.448573362795948</c:v>
                </c:pt>
                <c:pt idx="84">
                  <c:v>36.446787229200076</c:v>
                </c:pt>
                <c:pt idx="85">
                  <c:v>37.445313570434919</c:v>
                </c:pt>
                <c:pt idx="86">
                  <c:v>38.444098900106354</c:v>
                </c:pt>
                <c:pt idx="87">
                  <c:v>39.443098619800622</c:v>
                </c:pt>
                <c:pt idx="88">
                  <c:v>40.4422756021821</c:v>
                </c:pt>
                <c:pt idx="89">
                  <c:v>41.441598986539169</c:v>
                </c:pt>
                <c:pt idx="90">
                  <c:v>42.441043157940506</c:v>
                </c:pt>
                <c:pt idx="91">
                  <c:v>43.440586884387756</c:v>
                </c:pt>
                <c:pt idx="92">
                  <c:v>44.440212589381055</c:v>
                </c:pt>
                <c:pt idx="93">
                  <c:v>45.439905740116018</c:v>
                </c:pt>
                <c:pt idx="94">
                  <c:v>46.439654334084821</c:v>
                </c:pt>
                <c:pt idx="95">
                  <c:v>47.439448469158201</c:v>
                </c:pt>
                <c:pt idx="96">
                  <c:v>48.439279984282258</c:v>
                </c:pt>
                <c:pt idx="97">
                  <c:v>49.439142159745089</c:v>
                </c:pt>
                <c:pt idx="98">
                  <c:v>50.439029467569668</c:v>
                </c:pt>
                <c:pt idx="99">
                  <c:v>51.43893736398752</c:v>
                </c:pt>
                <c:pt idx="100">
                  <c:v>52.438862117161854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388160"/>
        <c:axId val="1914376736"/>
      </c:lineChart>
      <c:catAx>
        <c:axId val="191438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376736"/>
        <c:crosses val="autoZero"/>
        <c:auto val="1"/>
        <c:lblAlgn val="ctr"/>
        <c:lblOffset val="100"/>
        <c:noMultiLvlLbl val="0"/>
      </c:catAx>
      <c:valAx>
        <c:axId val="19143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38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Sheet2!$F$2:$F$102</c:f>
              <c:numCache>
                <c:formatCode>General</c:formatCode>
                <c:ptCount val="101"/>
                <c:pt idx="0">
                  <c:v>0</c:v>
                </c:pt>
                <c:pt idx="1">
                  <c:v>1.522952292937352E-82</c:v>
                </c:pt>
                <c:pt idx="2">
                  <c:v>3.7532120707012284E-56</c:v>
                </c:pt>
                <c:pt idx="3">
                  <c:v>4.0130648257068873E-43</c:v>
                </c:pt>
                <c:pt idx="4">
                  <c:v>5.8979941794646483E-35</c:v>
                </c:pt>
                <c:pt idx="5">
                  <c:v>3.0959927757765066E-29</c:v>
                </c:pt>
                <c:pt idx="6">
                  <c:v>5.8370536342514026E-25</c:v>
                </c:pt>
                <c:pt idx="7">
                  <c:v>1.2645583399798442E-21</c:v>
                </c:pt>
                <c:pt idx="8">
                  <c:v>6.0970680317637213E-19</c:v>
                </c:pt>
                <c:pt idx="9">
                  <c:v>9.8419499779181867E-17</c:v>
                </c:pt>
                <c:pt idx="10">
                  <c:v>6.9545740076096708E-15</c:v>
                </c:pt>
                <c:pt idx="11">
                  <c:v>2.5871988402614472E-13</c:v>
                </c:pt>
                <c:pt idx="12">
                  <c:v>5.7809817789495238E-12</c:v>
                </c:pt>
                <c:pt idx="13">
                  <c:v>8.5492755717427925E-11</c:v>
                </c:pt>
                <c:pt idx="14">
                  <c:v>9.0038688615161265E-10</c:v>
                </c:pt>
                <c:pt idx="15">
                  <c:v>7.1455449261630954E-9</c:v>
                </c:pt>
                <c:pt idx="16">
                  <c:v>4.4669699034676287E-8</c:v>
                </c:pt>
                <c:pt idx="17">
                  <c:v>2.2789207560764433E-7</c:v>
                </c:pt>
                <c:pt idx="18">
                  <c:v>9.7636259450815934E-7</c:v>
                </c:pt>
                <c:pt idx="19">
                  <c:v>3.596094022369637E-6</c:v>
                </c:pt>
                <c:pt idx="20">
                  <c:v>1.160929174145217E-5</c:v>
                </c:pt>
                <c:pt idx="21">
                  <c:v>3.3386202879984969E-5</c:v>
                </c:pt>
                <c:pt idx="22">
                  <c:v>8.670439426361129E-5</c:v>
                </c:pt>
                <c:pt idx="23">
                  <c:v>2.0571308682042872E-4</c:v>
                </c:pt>
                <c:pt idx="24">
                  <c:v>4.5033578808841257E-4</c:v>
                </c:pt>
                <c:pt idx="25">
                  <c:v>9.1743260394515119E-4</c:v>
                </c:pt>
                <c:pt idx="26">
                  <c:v>1.7522228265699302E-3</c:v>
                </c:pt>
                <c:pt idx="27">
                  <c:v>3.1577875391597013E-3</c:v>
                </c:pt>
                <c:pt idx="28">
                  <c:v>5.4001828370714424E-3</c:v>
                </c:pt>
                <c:pt idx="29">
                  <c:v>8.8069554637979063E-3</c:v>
                </c:pt>
                <c:pt idx="30">
                  <c:v>1.3757667572379631E-2</c:v>
                </c:pt>
                <c:pt idx="31">
                  <c:v>2.0666250043050845E-2</c:v>
                </c:pt>
                <c:pt idx="32">
                  <c:v>2.9956349889287862E-2</c:v>
                </c:pt>
                <c:pt idx="33">
                  <c:v>4.2032024926565832E-2</c:v>
                </c:pt>
                <c:pt idx="34">
                  <c:v>5.7246928835850606E-2</c:v>
                </c:pt>
                <c:pt idx="35">
                  <c:v>7.5875389491867534E-2</c:v>
                </c:pt>
                <c:pt idx="36">
                  <c:v>9.808850421185164E-2</c:v>
                </c:pt>
                <c:pt idx="37">
                  <c:v>0.12393765558058713</c:v>
                </c:pt>
                <c:pt idx="38">
                  <c:v>0.15334685695990033</c:v>
                </c:pt>
                <c:pt idx="39">
                  <c:v>0.18611425617187966</c:v>
                </c:pt>
                <c:pt idx="40">
                  <c:v>0.22192212964817964</c:v>
                </c:pt>
                <c:pt idx="41">
                  <c:v>0.26035391304643163</c:v>
                </c:pt>
                <c:pt idx="42">
                  <c:v>0.30091630679418058</c:v>
                </c:pt>
                <c:pt idx="43">
                  <c:v>0.3430642802517952</c:v>
                </c:pt>
                <c:pt idx="44">
                  <c:v>0.38622684639358018</c:v>
                </c:pt>
                <c:pt idx="45">
                  <c:v>0.4298317318895431</c:v>
                </c:pt>
                <c:pt idx="46">
                  <c:v>0.47332745432577039</c:v>
                </c:pt>
                <c:pt idx="47">
                  <c:v>0.51620176861942191</c:v>
                </c:pt>
                <c:pt idx="48">
                  <c:v>0.55799589783012893</c:v>
                </c:pt>
                <c:pt idx="49">
                  <c:v>0.59831437381129005</c:v>
                </c:pt>
                <c:pt idx="50">
                  <c:v>0.6368306511756191</c:v>
                </c:pt>
                <c:pt idx="51">
                  <c:v>0.67328890984990841</c:v>
                </c:pt>
                <c:pt idx="52">
                  <c:v>0.70750262557146315</c:v>
                </c:pt>
                <c:pt idx="53">
                  <c:v>0.73935057160139073</c:v>
                </c:pt>
                <c:pt idx="54">
                  <c:v>0.76877093185612155</c:v>
                </c:pt>
                <c:pt idx="55">
                  <c:v>0.79575417130958659</c:v>
                </c:pt>
                <c:pt idx="56">
                  <c:v>0.82033523982574619</c:v>
                </c:pt>
                <c:pt idx="57">
                  <c:v>0.84258559506308628</c:v>
                </c:pt>
                <c:pt idx="58">
                  <c:v>0.86260543090421016</c:v>
                </c:pt>
                <c:pt idx="59">
                  <c:v>0.88051639939636051</c:v>
                </c:pt>
                <c:pt idx="60">
                  <c:v>0.89645502307708047</c:v>
                </c:pt>
                <c:pt idx="61">
                  <c:v>0.91056691495246678</c:v>
                </c:pt>
                <c:pt idx="62">
                  <c:v>0.92300185737501328</c:v>
                </c:pt>
                <c:pt idx="63">
                  <c:v>0.93390973911785757</c:v>
                </c:pt>
                <c:pt idx="64">
                  <c:v>0.94343731140724418</c:v>
                </c:pt>
                <c:pt idx="65">
                  <c:v>0.95172569716748268</c:v>
                </c:pt>
                <c:pt idx="66">
                  <c:v>0.95890857146666941</c:v>
                </c:pt>
                <c:pt idx="67">
                  <c:v>0.9651109231995767</c:v>
                </c:pt>
                <c:pt idx="68">
                  <c:v>0.97044830652084724</c:v>
                </c:pt>
                <c:pt idx="69">
                  <c:v>0.975026493722573</c:v>
                </c:pt>
                <c:pt idx="70">
                  <c:v>0.97894144763979696</c:v>
                </c:pt>
                <c:pt idx="71">
                  <c:v>0.98227954002642315</c:v>
                </c:pt>
                <c:pt idx="72">
                  <c:v>0.98511795169024241</c:v>
                </c:pt>
                <c:pt idx="73">
                  <c:v>0.98752519976548314</c:v>
                </c:pt>
                <c:pt idx="74">
                  <c:v>0.98956174680035192</c:v>
                </c:pt>
                <c:pt idx="75">
                  <c:v>0.99128065498736573</c:v>
                </c:pt>
                <c:pt idx="76">
                  <c:v>0.99272825664968067</c:v>
                </c:pt>
                <c:pt idx="77">
                  <c:v>0.99394481891063657</c:v>
                </c:pt>
                <c:pt idx="78">
                  <c:v>0.99496518629108799</c:v>
                </c:pt>
                <c:pt idx="79">
                  <c:v>0.99581938983156515</c:v>
                </c:pt>
                <c:pt idx="80">
                  <c:v>0.9965332152929931</c:v>
                </c:pt>
                <c:pt idx="81">
                  <c:v>0.99712872614157066</c:v>
                </c:pt>
                <c:pt idx="82">
                  <c:v>0.99762473947167685</c:v>
                </c:pt>
                <c:pt idx="83">
                  <c:v>0.99803725486830674</c:v>
                </c:pt>
                <c:pt idx="84">
                  <c:v>0.99837983755658688</c:v>
                </c:pt>
                <c:pt idx="85">
                  <c:v>0.99866395812177255</c:v>
                </c:pt>
                <c:pt idx="86">
                  <c:v>0.99889929169052594</c:v>
                </c:pt>
                <c:pt idx="87">
                  <c:v>0.99909397981438564</c:v>
                </c:pt>
                <c:pt idx="88">
                  <c:v>0.99925485844978046</c:v>
                </c:pt>
                <c:pt idx="89">
                  <c:v>0.99938765543624253</c:v>
                </c:pt>
                <c:pt idx="90">
                  <c:v>0.9994971607769646</c:v>
                </c:pt>
                <c:pt idx="91">
                  <c:v>0.9995873728566792</c:v>
                </c:pt>
                <c:pt idx="92">
                  <c:v>0.99966162351707299</c:v>
                </c:pt>
                <c:pt idx="93">
                  <c:v>0.99972268466965442</c:v>
                </c:pt>
                <c:pt idx="94">
                  <c:v>0.99977285887523992</c:v>
                </c:pt>
                <c:pt idx="95">
                  <c:v>0.99981405606901042</c:v>
                </c:pt>
                <c:pt idx="96">
                  <c:v>0.99984785836815071</c:v>
                </c:pt>
                <c:pt idx="97">
                  <c:v>0.99987557467058197</c:v>
                </c:pt>
                <c:pt idx="98">
                  <c:v>0.999898286541408</c:v>
                </c:pt>
                <c:pt idx="99">
                  <c:v>0.99991688669009959</c:v>
                </c:pt>
                <c:pt idx="100">
                  <c:v>0.99993211116670055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375648"/>
        <c:axId val="1914376192"/>
      </c:lineChart>
      <c:catAx>
        <c:axId val="19143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376192"/>
        <c:crosses val="autoZero"/>
        <c:auto val="1"/>
        <c:lblAlgn val="ctr"/>
        <c:lblOffset val="100"/>
        <c:noMultiLvlLbl val="0"/>
      </c:catAx>
      <c:valAx>
        <c:axId val="191437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3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Sheet2!$G$2:$G$102</c:f>
              <c:numCache>
                <c:formatCode>General</c:formatCode>
                <c:ptCount val="101"/>
                <c:pt idx="0">
                  <c:v>0</c:v>
                </c:pt>
                <c:pt idx="1">
                  <c:v>1.4667471720210008E-80</c:v>
                </c:pt>
                <c:pt idx="2">
                  <c:v>1.4832123091665971E-54</c:v>
                </c:pt>
                <c:pt idx="3">
                  <c:v>9.2228258864826289E-42</c:v>
                </c:pt>
                <c:pt idx="4">
                  <c:v>9.1116926830401965E-34</c:v>
                </c:pt>
                <c:pt idx="5">
                  <c:v>3.4833399957215784E-28</c:v>
                </c:pt>
                <c:pt idx="6">
                  <c:v>5.0330443694525074E-24</c:v>
                </c:pt>
                <c:pt idx="7">
                  <c:v>8.6566397857088829E-21</c:v>
                </c:pt>
                <c:pt idx="8">
                  <c:v>3.4004977129763912E-18</c:v>
                </c:pt>
                <c:pt idx="9">
                  <c:v>4.5613239743070029E-16</c:v>
                </c:pt>
                <c:pt idx="10">
                  <c:v>2.7202995696898177E-14</c:v>
                </c:pt>
                <c:pt idx="11">
                  <c:v>8.648613019090904E-13</c:v>
                </c:pt>
                <c:pt idx="12">
                  <c:v>1.6685729131105706E-11</c:v>
                </c:pt>
                <c:pt idx="13">
                  <c:v>2.1488593631115652E-10</c:v>
                </c:pt>
                <c:pt idx="14">
                  <c:v>1.9850173839557259E-9</c:v>
                </c:pt>
                <c:pt idx="15">
                  <c:v>1.3902045716941078E-8</c:v>
                </c:pt>
                <c:pt idx="16">
                  <c:v>7.7096309899900681E-8</c:v>
                </c:pt>
                <c:pt idx="17">
                  <c:v>3.5049281646330183E-7</c:v>
                </c:pt>
                <c:pt idx="18">
                  <c:v>1.3433103361905783E-6</c:v>
                </c:pt>
                <c:pt idx="19">
                  <c:v>4.440901540635817E-6</c:v>
                </c:pt>
                <c:pt idx="20">
                  <c:v>1.2905810391924599E-5</c:v>
                </c:pt>
                <c:pt idx="21">
                  <c:v>3.3495063034068793E-5</c:v>
                </c:pt>
                <c:pt idx="22">
                  <c:v>7.8674580745667307E-5</c:v>
                </c:pt>
                <c:pt idx="23">
                  <c:v>1.6914039190189591E-4</c:v>
                </c:pt>
                <c:pt idx="24">
                  <c:v>3.3605263135615625E-4</c:v>
                </c:pt>
                <c:pt idx="25">
                  <c:v>6.2217972896981739E-4</c:v>
                </c:pt>
                <c:pt idx="26">
                  <c:v>1.0811568534607554E-3</c:v>
                </c:pt>
                <c:pt idx="27">
                  <c:v>1.7743365101931736E-3</c:v>
                </c:pt>
                <c:pt idx="28">
                  <c:v>2.7652026453926473E-3</c:v>
                </c:pt>
                <c:pt idx="29">
                  <c:v>4.111899920429536E-3</c:v>
                </c:pt>
                <c:pt idx="30">
                  <c:v>5.8589294221981945E-3</c:v>
                </c:pt>
                <c:pt idx="31">
                  <c:v>8.0293394803937889E-3</c:v>
                </c:pt>
                <c:pt idx="32">
                  <c:v>1.0618725087566738E-2</c:v>
                </c:pt>
                <c:pt idx="33">
                  <c:v>1.359205691220333E-2</c:v>
                </c:pt>
                <c:pt idx="34">
                  <c:v>1.6883876464790119E-2</c:v>
                </c:pt>
                <c:pt idx="35">
                  <c:v>2.0401839190710609E-2</c:v>
                </c:pt>
                <c:pt idx="36">
                  <c:v>2.4033082333373673E-2</c:v>
                </c:pt>
                <c:pt idx="37">
                  <c:v>2.7652529225659406E-2</c:v>
                </c:pt>
                <c:pt idx="38">
                  <c:v>3.1132061357557968E-2</c:v>
                </c:pt>
                <c:pt idx="39">
                  <c:v>3.4349494505004609E-2</c:v>
                </c:pt>
                <c:pt idx="40">
                  <c:v>3.719645134337575E-2</c:v>
                </c:pt>
                <c:pt idx="41">
                  <c:v>3.9584476972626556E-2</c:v>
                </c:pt>
                <c:pt idx="42">
                  <c:v>4.1449037987317951E-2</c:v>
                </c:pt>
                <c:pt idx="43">
                  <c:v>4.2751329687699582E-2</c:v>
                </c:pt>
                <c:pt idx="44">
                  <c:v>4.3478053282574328E-2</c:v>
                </c:pt>
                <c:pt idx="45">
                  <c:v>4.3639495159320189E-2</c:v>
                </c:pt>
                <c:pt idx="46">
                  <c:v>4.326633796664052E-2</c:v>
                </c:pt>
                <c:pt idx="47">
                  <c:v>4.2405664210768954E-2</c:v>
                </c:pt>
                <c:pt idx="48">
                  <c:v>4.1116590310999554E-2</c:v>
                </c:pt>
                <c:pt idx="49">
                  <c:v>3.946590878914339E-2</c:v>
                </c:pt>
                <c:pt idx="50">
                  <c:v>3.752403469169379E-2</c:v>
                </c:pt>
                <c:pt idx="51">
                  <c:v>3.5361463557759841E-2</c:v>
                </c:pt>
                <c:pt idx="52">
                  <c:v>3.3045863094999801E-2</c:v>
                </c:pt>
                <c:pt idx="53">
                  <c:v>3.0639846490785438E-2</c:v>
                </c:pt>
                <c:pt idx="54">
                  <c:v>2.8199415943314498E-2</c:v>
                </c:pt>
                <c:pt idx="55">
                  <c:v>2.5773021812171722E-2</c:v>
                </c:pt>
                <c:pt idx="56">
                  <c:v>2.3401155038649042E-2</c:v>
                </c:pt>
                <c:pt idx="57">
                  <c:v>2.111637618148942E-2</c:v>
                </c:pt>
                <c:pt idx="58">
                  <c:v>1.894368091023969E-2</c:v>
                </c:pt>
                <c:pt idx="59">
                  <c:v>1.6901106280365744E-2</c:v>
                </c:pt>
                <c:pt idx="60">
                  <c:v>1.500049192707663E-2</c:v>
                </c:pt>
                <c:pt idx="61">
                  <c:v>1.3248323166316212E-2</c:v>
                </c:pt>
                <c:pt idx="62">
                  <c:v>1.1646597046481253E-2</c:v>
                </c:pt>
                <c:pt idx="63">
                  <c:v>1.0193666290937313E-2</c:v>
                </c:pt>
                <c:pt idx="64">
                  <c:v>8.8850288843878127E-3</c:v>
                </c:pt>
                <c:pt idx="65">
                  <c:v>7.7140422330482456E-3</c:v>
                </c:pt>
                <c:pt idx="66">
                  <c:v>6.672550112394037E-3</c:v>
                </c:pt>
                <c:pt idx="67">
                  <c:v>5.7514179687660734E-3</c:v>
                </c:pt>
                <c:pt idx="68">
                  <c:v>4.9409776735205848E-3</c:v>
                </c:pt>
                <c:pt idx="69">
                  <c:v>4.2313867432075825E-3</c:v>
                </c:pt>
                <c:pt idx="70">
                  <c:v>3.6129095847172435E-3</c:v>
                </c:pt>
                <c:pt idx="71">
                  <c:v>3.0761297609812003E-3</c:v>
                </c:pt>
                <c:pt idx="72">
                  <c:v>2.6121028506060464E-3</c:v>
                </c:pt>
                <c:pt idx="73">
                  <c:v>2.212459419017444E-3</c:v>
                </c:pt>
                <c:pt idx="74">
                  <c:v>1.8694671225461354E-3</c:v>
                </c:pt>
                <c:pt idx="75">
                  <c:v>1.5760601891971983E-3</c:v>
                </c:pt>
                <c:pt idx="76">
                  <c:v>1.3258435859076307E-3</c:v>
                </c:pt>
                <c:pt idx="77">
                  <c:v>1.1130781867014204E-3</c:v>
                </c:pt>
                <c:pt idx="78">
                  <c:v>9.3265226766561934E-4</c:v>
                </c:pt>
                <c:pt idx="79">
                  <c:v>7.800437195374663E-4</c:v>
                </c:pt>
                <c:pt idx="80">
                  <c:v>6.5127651583848358E-4</c:v>
                </c:pt>
                <c:pt idx="81">
                  <c:v>5.4287421937633615E-4</c:v>
                </c:pt>
                <c:pt idx="82">
                  <c:v>4.5181265807618448E-4</c:v>
                </c:pt>
                <c:pt idx="83">
                  <c:v>3.7547335102230668E-4</c:v>
                </c:pt>
                <c:pt idx="84">
                  <c:v>3.1159881118626221E-4</c:v>
                </c:pt>
                <c:pt idx="85">
                  <c:v>2.5825048371009391E-4</c:v>
                </c:pt>
                <c:pt idx="86">
                  <c:v>2.1376978752645569E-4</c:v>
                </c:pt>
                <c:pt idx="87">
                  <c:v>1.7674250285578465E-4</c:v>
                </c:pt>
                <c:pt idx="88">
                  <c:v>1.4596657732853183E-4</c:v>
                </c:pt>
                <c:pt idx="89">
                  <c:v>1.2042329945911027E-4</c:v>
                </c:pt>
                <c:pt idx="90">
                  <c:v>9.9251701234809534E-5</c:v>
                </c:pt>
                <c:pt idx="91">
                  <c:v>8.1725994044327653E-5</c:v>
                </c:pt>
                <c:pt idx="92">
                  <c:v>6.7235807521088764E-5</c:v>
                </c:pt>
                <c:pt idx="93">
                  <c:v>5.5268983633337366E-5</c:v>
                </c:pt>
                <c:pt idx="94">
                  <c:v>4.5396674001599077E-5</c:v>
                </c:pt>
                <c:pt idx="95">
                  <c:v>3.7260493313945953E-5</c:v>
                </c:pt>
                <c:pt idx="96">
                  <c:v>3.0561492940953485E-5</c:v>
                </c:pt>
                <c:pt idx="97">
                  <c:v>2.505073416477828E-5</c:v>
                </c:pt>
                <c:pt idx="98">
                  <c:v>2.052125810339629E-5</c:v>
                </c:pt>
                <c:pt idx="99">
                  <c:v>1.6801268142350206E-5</c:v>
                </c:pt>
                <c:pt idx="100">
                  <c:v>1.3748359545980211E-5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375104"/>
        <c:axId val="1914382176"/>
      </c:lineChart>
      <c:catAx>
        <c:axId val="19143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382176"/>
        <c:crosses val="autoZero"/>
        <c:auto val="1"/>
        <c:lblAlgn val="ctr"/>
        <c:lblOffset val="100"/>
        <c:noMultiLvlLbl val="0"/>
      </c:catAx>
      <c:valAx>
        <c:axId val="19143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3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Sheet2!$H$2:$H$102</c:f>
              <c:numCache>
                <c:formatCode>General</c:formatCode>
                <c:ptCount val="101"/>
                <c:pt idx="0">
                  <c:v>0</c:v>
                </c:pt>
                <c:pt idx="1">
                  <c:v>4.2749307849555495E-82</c:v>
                </c:pt>
                <c:pt idx="2">
                  <c:v>2.4454125580742127E-55</c:v>
                </c:pt>
                <c:pt idx="3">
                  <c:v>4.1902600330853626E-42</c:v>
                </c:pt>
                <c:pt idx="4">
                  <c:v>8.4981202043398308E-34</c:v>
                </c:pt>
                <c:pt idx="5">
                  <c:v>5.6753768606483189E-28</c:v>
                </c:pt>
                <c:pt idx="6">
                  <c:v>1.2935484887214651E-23</c:v>
                </c:pt>
                <c:pt idx="7">
                  <c:v>3.2709075880635902E-20</c:v>
                </c:pt>
                <c:pt idx="8">
                  <c:v>1.7940778424499397E-17</c:v>
                </c:pt>
                <c:pt idx="9">
                  <c:v>3.2305094906068322E-15</c:v>
                </c:pt>
                <c:pt idx="10">
                  <c:v>2.5072091309432885E-13</c:v>
                </c:pt>
                <c:pt idx="11">
                  <c:v>1.0115841266228022E-11</c:v>
                </c:pt>
                <c:pt idx="12">
                  <c:v>2.4258957421173281E-10</c:v>
                </c:pt>
                <c:pt idx="13">
                  <c:v>3.8162797402236465E-9</c:v>
                </c:pt>
                <c:pt idx="14">
                  <c:v>4.2428554071203852E-8</c:v>
                </c:pt>
                <c:pt idx="15">
                  <c:v>3.5308615446528146E-7</c:v>
                </c:pt>
                <c:pt idx="16">
                  <c:v>2.3009510320641326E-6</c:v>
                </c:pt>
                <c:pt idx="17">
                  <c:v>1.2172373018217043E-5</c:v>
                </c:pt>
                <c:pt idx="18">
                  <c:v>5.3818482403761752E-5</c:v>
                </c:pt>
                <c:pt idx="19">
                  <c:v>2.0367089641705545E-4</c:v>
                </c:pt>
                <c:pt idx="20">
                  <c:v>6.7287454230670124E-4</c:v>
                </c:pt>
                <c:pt idx="21">
                  <c:v>1.9728899668678096E-3</c:v>
                </c:pt>
                <c:pt idx="22">
                  <c:v>5.2055301624688612E-3</c:v>
                </c:pt>
                <c:pt idx="23">
                  <c:v>1.2506642924042471E-2</c:v>
                </c:pt>
                <c:pt idx="24">
                  <c:v>2.7638166740432436E-2</c:v>
                </c:pt>
                <c:pt idx="25">
                  <c:v>5.6668237714313716E-2</c:v>
                </c:pt>
                <c:pt idx="26">
                  <c:v>0.10861652484163449</c:v>
                </c:pt>
                <c:pt idx="27">
                  <c:v>0.19589313987563226</c:v>
                </c:pt>
                <c:pt idx="28">
                  <c:v>0.33434579843435497</c:v>
                </c:pt>
                <c:pt idx="29">
                  <c:v>0.54276440504717938</c:v>
                </c:pt>
                <c:pt idx="30">
                  <c:v>0.84177346445088608</c:v>
                </c:pt>
                <c:pt idx="31">
                  <c:v>1.2521543967582172</c:v>
                </c:pt>
                <c:pt idx="32">
                  <c:v>1.7927558613056058</c:v>
                </c:pt>
                <c:pt idx="33">
                  <c:v>2.4782428506302234</c:v>
                </c:pt>
                <c:pt idx="34">
                  <c:v>3.3169833110071787</c:v>
                </c:pt>
                <c:pt idx="35">
                  <c:v>4.3093647901865593</c:v>
                </c:pt>
                <c:pt idx="36">
                  <c:v>5.4467764888492134</c:v>
                </c:pt>
                <c:pt idx="37">
                  <c:v>6.7113980612686346</c:v>
                </c:pt>
                <c:pt idx="38">
                  <c:v>8.0768254474532686</c:v>
                </c:pt>
                <c:pt idx="39">
                  <c:v>9.5094564922616893</c:v>
                </c:pt>
                <c:pt idx="40">
                  <c:v>10.970472044877972</c:v>
                </c:pt>
                <c:pt idx="41">
                  <c:v>12.418192299894871</c:v>
                </c:pt>
                <c:pt idx="42">
                  <c:v>13.810567001597297</c:v>
                </c:pt>
                <c:pt idx="43">
                  <c:v>15.107569261322118</c:v>
                </c:pt>
                <c:pt idx="44">
                  <c:v>16.273299206715357</c:v>
                </c:pt>
                <c:pt idx="45">
                  <c:v>17.277656291390652</c:v>
                </c:pt>
                <c:pt idx="46">
                  <c:v>18.097498342400577</c:v>
                </c:pt>
                <c:pt idx="47">
                  <c:v>18.717263004527272</c:v>
                </c:pt>
                <c:pt idx="48">
                  <c:v>19.129076941303918</c:v>
                </c:pt>
                <c:pt idx="49">
                  <c:v>19.332416179581593</c:v>
                </c:pt>
                <c:pt idx="50">
                  <c:v>19.333405840142465</c:v>
                </c:pt>
                <c:pt idx="51">
                  <c:v>19.143859563873065</c:v>
                </c:pt>
                <c:pt idx="52">
                  <c:v>18.780159929318398</c:v>
                </c:pt>
                <c:pt idx="53">
                  <c:v>18.262073528873749</c:v>
                </c:pt>
                <c:pt idx="54">
                  <c:v>17.611580855000227</c:v>
                </c:pt>
                <c:pt idx="55">
                  <c:v>16.851784354365108</c:v>
                </c:pt>
                <c:pt idx="56">
                  <c:v>16.005940178234127</c:v>
                </c:pt>
                <c:pt idx="57">
                  <c:v>15.096642034306326</c:v>
                </c:pt>
                <c:pt idx="58">
                  <c:v>14.145170337930777</c:v>
                </c:pt>
                <c:pt idx="59">
                  <c:v>13.171007280671878</c:v>
                </c:pt>
                <c:pt idx="60">
                  <c:v>12.191508772070192</c:v>
                </c:pt>
                <c:pt idx="61">
                  <c:v>11.221717432613177</c:v>
                </c:pt>
                <c:pt idx="62">
                  <c:v>10.274296663622138</c:v>
                </c:pt>
                <c:pt idx="63">
                  <c:v>9.3595638988363685</c:v>
                </c:pt>
                <c:pt idx="64">
                  <c:v>8.4856009977112894</c:v>
                </c:pt>
                <c:pt idx="65">
                  <c:v>7.6584209119560303</c:v>
                </c:pt>
                <c:pt idx="66">
                  <c:v>6.8821718189579437</c:v>
                </c:pt>
                <c:pt idx="67">
                  <c:v>6.1593625005435051</c:v>
                </c:pt>
                <c:pt idx="68">
                  <c:v>5.4910955538465718</c:v>
                </c:pt>
                <c:pt idx="69">
                  <c:v>4.8772978242713183</c:v>
                </c:pt>
                <c:pt idx="70">
                  <c:v>4.316940085997981</c:v>
                </c:pt>
                <c:pt idx="71">
                  <c:v>3.8082403581566089</c:v>
                </c:pt>
                <c:pt idx="72">
                  <c:v>3.3488472771126139</c:v>
                </c:pt>
                <c:pt idx="73">
                  <c:v>2.936001626641644</c:v>
                </c:pt>
                <c:pt idx="74">
                  <c:v>2.5666754645494048</c:v>
                </c:pt>
                <c:pt idx="75">
                  <c:v>2.2376893013240364</c:v>
                </c:pt>
                <c:pt idx="76">
                  <c:v>1.9458085196778176</c:v>
                </c:pt>
                <c:pt idx="77">
                  <c:v>1.6878207148288515</c:v>
                </c:pt>
                <c:pt idx="78">
                  <c:v>1.4605959268555218</c:v>
                </c:pt>
                <c:pt idx="79">
                  <c:v>1.2611318695060847</c:v>
                </c:pt>
                <c:pt idx="80">
                  <c:v>1.0865862719548487</c:v>
                </c:pt>
                <c:pt idx="81">
                  <c:v>0.93429837400378024</c:v>
                </c:pt>
                <c:pt idx="82">
                  <c:v>0.80180147888424214</c:v>
                </c:pt>
                <c:pt idx="83">
                  <c:v>0.68682829379562549</c:v>
                </c:pt>
                <c:pt idx="84">
                  <c:v>0.58731059454538104</c:v>
                </c:pt>
                <c:pt idx="85">
                  <c:v>0.50137455078506221</c:v>
                </c:pt>
                <c:pt idx="86">
                  <c:v>0.4273328523470194</c:v>
                </c:pt>
                <c:pt idx="87">
                  <c:v>0.36367459198094693</c:v>
                </c:pt>
                <c:pt idx="88">
                  <c:v>0.30905368978672981</c:v>
                </c:pt>
                <c:pt idx="89">
                  <c:v>0.26227649230635858</c:v>
                </c:pt>
                <c:pt idx="90">
                  <c:v>0.22228904555943546</c:v>
                </c:pt>
                <c:pt idx="91">
                  <c:v>0.18816442619075938</c:v>
                </c:pt>
                <c:pt idx="92">
                  <c:v>0.15909041750143524</c:v>
                </c:pt>
                <c:pt idx="93">
                  <c:v>0.1343577361289619</c:v>
                </c:pt>
                <c:pt idx="94">
                  <c:v>0.11334894891918207</c:v>
                </c:pt>
                <c:pt idx="95">
                  <c:v>9.5528166362048042E-2</c:v>
                </c:pt>
                <c:pt idx="96">
                  <c:v>8.0431557100321308E-2</c:v>
                </c:pt>
                <c:pt idx="97">
                  <c:v>6.7658695788407733E-2</c:v>
                </c:pt>
                <c:pt idx="98">
                  <c:v>5.6864732417511339E-2</c:v>
                </c:pt>
                <c:pt idx="99">
                  <c:v>4.7753353719811653E-2</c:v>
                </c:pt>
                <c:pt idx="100">
                  <c:v>4.007049516568241E-2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36160"/>
        <c:axId val="1927036704"/>
      </c:lineChart>
      <c:catAx>
        <c:axId val="192703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36704"/>
        <c:crosses val="autoZero"/>
        <c:auto val="1"/>
        <c:lblAlgn val="ctr"/>
        <c:lblOffset val="100"/>
        <c:noMultiLvlLbl val="0"/>
      </c:catAx>
      <c:valAx>
        <c:axId val="192703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3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Theta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Sheet2!$I$2:$I$102</c:f>
              <c:numCache>
                <c:formatCode>General</c:formatCode>
                <c:ptCount val="101"/>
                <c:pt idx="0">
                  <c:v>0</c:v>
                </c:pt>
                <c:pt idx="1">
                  <c:v>-3.0088614727264931E-82</c:v>
                </c:pt>
                <c:pt idx="2">
                  <c:v>-1.2236348352362488E-55</c:v>
                </c:pt>
                <c:pt idx="3">
                  <c:v>-1.719448335725312E-42</c:v>
                </c:pt>
                <c:pt idx="4">
                  <c:v>-3.0318346738942659E-34</c:v>
                </c:pt>
                <c:pt idx="5">
                  <c:v>-1.8177279954886471E-28</c:v>
                </c:pt>
                <c:pt idx="6">
                  <c:v>-3.7956118164771991E-24</c:v>
                </c:pt>
                <c:pt idx="7">
                  <c:v>-8.9171456962131262E-21</c:v>
                </c:pt>
                <c:pt idx="8">
                  <c:v>-4.5912349513824683E-18</c:v>
                </c:pt>
                <c:pt idx="9">
                  <c:v>-7.8219981002502435E-16</c:v>
                </c:pt>
                <c:pt idx="10">
                  <c:v>-5.7797865809318255E-14</c:v>
                </c:pt>
                <c:pt idx="11">
                  <c:v>-2.231554799849492E-12</c:v>
                </c:pt>
                <c:pt idx="12">
                  <c:v>-5.142793520175027E-11</c:v>
                </c:pt>
                <c:pt idx="13">
                  <c:v>-7.8026811958230671E-10</c:v>
                </c:pt>
                <c:pt idx="14">
                  <c:v>-8.3922044686512021E-9</c:v>
                </c:pt>
                <c:pt idx="15">
                  <c:v>-6.774522187228686E-8</c:v>
                </c:pt>
                <c:pt idx="16">
                  <c:v>-4.2925418276384397E-7</c:v>
                </c:pt>
                <c:pt idx="17">
                  <c:v>-2.2126355057661787E-6</c:v>
                </c:pt>
                <c:pt idx="18">
                  <c:v>-9.5503975148759847E-6</c:v>
                </c:pt>
                <c:pt idx="19">
                  <c:v>-3.5344999326132525E-5</c:v>
                </c:pt>
                <c:pt idx="20">
                  <c:v>-1.1437585911429743E-4</c:v>
                </c:pt>
                <c:pt idx="21">
                  <c:v>-3.2896210814336782E-4</c:v>
                </c:pt>
                <c:pt idx="22">
                  <c:v>-8.5260947784230722E-4</c:v>
                </c:pt>
                <c:pt idx="23">
                  <c:v>-2.014804448086716E-3</c:v>
                </c:pt>
                <c:pt idx="24">
                  <c:v>-4.3847495817062321E-3</c:v>
                </c:pt>
                <c:pt idx="25">
                  <c:v>-8.8640519282214125E-3</c:v>
                </c:pt>
                <c:pt idx="26">
                  <c:v>-1.6770311610651397E-2</c:v>
                </c:pt>
                <c:pt idx="27">
                  <c:v>-2.988815429784876E-2</c:v>
                </c:pt>
                <c:pt idx="28">
                  <c:v>-5.0464123501399644E-2</c:v>
                </c:pt>
                <c:pt idx="29">
                  <c:v>-8.1128161765058479E-2</c:v>
                </c:pt>
                <c:pt idx="30">
                  <c:v>-0.12473631270637645</c:v>
                </c:pt>
                <c:pt idx="31">
                  <c:v>-0.18414411984470644</c:v>
                </c:pt>
                <c:pt idx="32">
                  <c:v>-0.26193440362349923</c:v>
                </c:pt>
                <c:pt idx="33">
                  <c:v>-0.36013327876878787</c:v>
                </c:pt>
                <c:pt idx="34">
                  <c:v>-0.47995218951099999</c:v>
                </c:pt>
                <c:pt idx="35">
                  <c:v>-0.62159078652779398</c:v>
                </c:pt>
                <c:pt idx="36">
                  <c:v>-0.78412663799947313</c:v>
                </c:pt>
                <c:pt idx="37">
                  <c:v>-0.96550518535855356</c:v>
                </c:pt>
                <c:pt idx="38">
                  <c:v>-1.162629626347345</c:v>
                </c:pt>
                <c:pt idx="39">
                  <c:v>-1.3715379742099136</c:v>
                </c:pt>
                <c:pt idx="40">
                  <c:v>-1.587645212964079</c:v>
                </c:pt>
                <c:pt idx="41">
                  <c:v>-1.8060232017787525</c:v>
                </c:pt>
                <c:pt idx="42">
                  <c:v>-2.0216898848751699</c:v>
                </c:pt>
                <c:pt idx="43">
                  <c:v>-2.2298818672553278</c:v>
                </c:pt>
                <c:pt idx="44">
                  <c:v>-2.4262895271402658</c:v>
                </c:pt>
                <c:pt idx="45">
                  <c:v>-2.6072403987335009</c:v>
                </c:pt>
                <c:pt idx="46">
                  <c:v>-2.769823477947523</c:v>
                </c:pt>
                <c:pt idx="47">
                  <c:v>-2.9119534904851045</c:v>
                </c:pt>
                <c:pt idx="48">
                  <c:v>-3.0323794082496169</c:v>
                </c:pt>
                <c:pt idx="49">
                  <c:v>-3.1306452882716451</c:v>
                </c:pt>
                <c:pt idx="50">
                  <c:v>-3.2070137732190984</c:v>
                </c:pt>
                <c:pt idx="51">
                  <c:v>-3.2623634606328995</c:v>
                </c:pt>
                <c:pt idx="52">
                  <c:v>-3.2980710678239067</c:v>
                </c:pt>
                <c:pt idx="53">
                  <c:v>-3.3158881968620704</c:v>
                </c:pt>
                <c:pt idx="54">
                  <c:v>-3.3178208506771028</c:v>
                </c:pt>
                <c:pt idx="55">
                  <c:v>-3.3060179472229914</c:v>
                </c:pt>
                <c:pt idx="56">
                  <c:v>-3.2826731517064647</c:v>
                </c:pt>
                <c:pt idx="57">
                  <c:v>-3.2499425638579549</c:v>
                </c:pt>
                <c:pt idx="58">
                  <c:v>-3.2098792651251369</c:v>
                </c:pt>
                <c:pt idx="59">
                  <c:v>-3.1643845040193286</c:v>
                </c:pt>
                <c:pt idx="60">
                  <c:v>-3.1151743893095762</c:v>
                </c:pt>
                <c:pt idx="61">
                  <c:v>-3.0637603526848154</c:v>
                </c:pt>
                <c:pt idx="62">
                  <c:v>-3.0114412977918308</c:v>
                </c:pt>
                <c:pt idx="63">
                  <c:v>-2.9593052239191628</c:v>
                </c:pt>
                <c:pt idx="64">
                  <c:v>-2.9082381497825107</c:v>
                </c:pt>
                <c:pt idx="65">
                  <c:v>-2.8589383178021457</c:v>
                </c:pt>
                <c:pt idx="66">
                  <c:v>-2.8119338893183183</c:v>
                </c:pt>
                <c:pt idx="67">
                  <c:v>-2.7676026108977485</c:v>
                </c:pt>
                <c:pt idx="68">
                  <c:v>-2.7261922134694276</c:v>
                </c:pt>
                <c:pt idx="69">
                  <c:v>-2.6878405791251558</c:v>
                </c:pt>
                <c:pt idx="70">
                  <c:v>-2.6525949612684587</c:v>
                </c:pt>
                <c:pt idx="71">
                  <c:v>-2.6204297641704484</c:v>
                </c:pt>
                <c:pt idx="72">
                  <c:v>-2.5912625740535162</c:v>
                </c:pt>
                <c:pt idx="73">
                  <c:v>-2.5649682850105231</c:v>
                </c:pt>
                <c:pt idx="74">
                  <c:v>-2.5413912811021735</c:v>
                </c:pt>
                <c:pt idx="75">
                  <c:v>-2.5203557240373264</c:v>
                </c:pt>
                <c:pt idx="76">
                  <c:v>-2.5016740579010834</c:v>
                </c:pt>
                <c:pt idx="77">
                  <c:v>-2.4851538827164434</c:v>
                </c:pt>
                <c:pt idx="78">
                  <c:v>-2.4706033714052369</c:v>
                </c:pt>
                <c:pt idx="79">
                  <c:v>-2.4578354138515381</c:v>
                </c:pt>
                <c:pt idx="80">
                  <c:v>-2.446670670726423</c:v>
                </c:pt>
                <c:pt idx="81">
                  <c:v>-2.4369397114646136</c:v>
                </c:pt>
                <c:pt idx="82">
                  <c:v>-2.4284843977346524</c:v>
                </c:pt>
                <c:pt idx="83">
                  <c:v>-2.4211586578675295</c:v>
                </c:pt>
                <c:pt idx="84">
                  <c:v>-2.4148287805122663</c:v>
                </c:pt>
                <c:pt idx="85">
                  <c:v>-2.4093733383918954</c:v>
                </c:pt>
                <c:pt idx="86">
                  <c:v>-2.4046828362348576</c:v>
                </c:pt>
                <c:pt idx="87">
                  <c:v>-2.4006591612848545</c:v>
                </c:pt>
                <c:pt idx="88">
                  <c:v>-2.3972149005665724</c:v>
                </c:pt>
                <c:pt idx="89">
                  <c:v>-2.3942725764646333</c:v>
                </c:pt>
                <c:pt idx="90">
                  <c:v>-2.3917638411993543</c:v>
                </c:pt>
                <c:pt idx="91">
                  <c:v>-2.3896286614121243</c:v>
                </c:pt>
                <c:pt idx="92">
                  <c:v>-2.3878145162066531</c:v>
                </c:pt>
                <c:pt idx="93">
                  <c:v>-2.3862756254969866</c:v>
                </c:pt>
                <c:pt idx="94">
                  <c:v>-2.3849722202389492</c:v>
                </c:pt>
                <c:pt idx="95">
                  <c:v>-2.3838698619130567</c:v>
                </c:pt>
                <c:pt idx="96">
                  <c:v>-2.3829388153318871</c:v>
                </c:pt>
                <c:pt idx="97">
                  <c:v>-2.3821534763201964</c:v>
                </c:pt>
                <c:pt idx="98">
                  <c:v>-2.3814918539309162</c:v>
                </c:pt>
                <c:pt idx="99">
                  <c:v>-2.3809351054978802</c:v>
                </c:pt>
                <c:pt idx="100">
                  <c:v>-2.3804671218846059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096112"/>
        <c:axId val="1930099376"/>
      </c:lineChart>
      <c:catAx>
        <c:axId val="193009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099376"/>
        <c:crosses val="autoZero"/>
        <c:auto val="1"/>
        <c:lblAlgn val="ctr"/>
        <c:lblOffset val="100"/>
        <c:noMultiLvlLbl val="0"/>
      </c:catAx>
      <c:valAx>
        <c:axId val="1930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0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Rho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Sheet2!$D$2:$D$102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Sheet2!$J$2:$J$102</c:f>
              <c:numCache>
                <c:formatCode>General</c:formatCode>
                <c:ptCount val="101"/>
                <c:pt idx="0">
                  <c:v>0</c:v>
                </c:pt>
                <c:pt idx="1">
                  <c:v>1.5073425736898225E-82</c:v>
                </c:pt>
                <c:pt idx="2">
                  <c:v>7.4129975805941971E-56</c:v>
                </c:pt>
                <c:pt idx="3">
                  <c:v>1.1867935231687682E-42</c:v>
                </c:pt>
                <c:pt idx="4">
                  <c:v>2.3218603064280593E-34</c:v>
                </c:pt>
                <c:pt idx="5">
                  <c:v>1.5211599525571568E-28</c:v>
                </c:pt>
                <c:pt idx="6">
                  <c:v>3.4363974094278572E-24</c:v>
                </c:pt>
                <c:pt idx="7">
                  <c:v>8.6727741243683857E-21</c:v>
                </c:pt>
                <c:pt idx="8">
                  <c:v>4.7719575754537341E-18</c:v>
                </c:pt>
                <c:pt idx="9">
                  <c:v>8.6530652374579763E-16</c:v>
                </c:pt>
                <c:pt idx="10">
                  <c:v>6.7837488310437821E-14</c:v>
                </c:pt>
                <c:pt idx="11">
                  <c:v>2.7718089845898711E-12</c:v>
                </c:pt>
                <c:pt idx="12">
                  <c:v>6.7460706083316655E-11</c:v>
                </c:pt>
                <c:pt idx="13">
                  <c:v>1.0790730970119509E-9</c:v>
                </c:pt>
                <c:pt idx="14">
                  <c:v>1.2218726470895116E-8</c:v>
                </c:pt>
                <c:pt idx="15">
                  <c:v>1.0372032292104004E-7</c:v>
                </c:pt>
                <c:pt idx="16">
                  <c:v>6.904215215270488E-7</c:v>
                </c:pt>
                <c:pt idx="17">
                  <c:v>3.7357405321658822E-6</c:v>
                </c:pt>
                <c:pt idx="18">
                  <c:v>1.6914930727220755E-5</c:v>
                </c:pt>
                <c:pt idx="19">
                  <c:v>6.5633804054838403E-5</c:v>
                </c:pt>
                <c:pt idx="20">
                  <c:v>2.2258751957801278E-4</c:v>
                </c:pt>
                <c:pt idx="21">
                  <c:v>6.7071304365762024E-4</c:v>
                </c:pt>
                <c:pt idx="22">
                  <c:v>1.8207907244849519E-3</c:v>
                </c:pt>
                <c:pt idx="23">
                  <c:v>4.5059820352931343E-3</c:v>
                </c:pt>
                <c:pt idx="24">
                  <c:v>1.0268465369666224E-2</c:v>
                </c:pt>
                <c:pt idx="25">
                  <c:v>2.1736106321973918E-2</c:v>
                </c:pt>
                <c:pt idx="26">
                  <c:v>4.3061419037239673E-2</c:v>
                </c:pt>
                <c:pt idx="27">
                  <c:v>8.0366559584645711E-2</c:v>
                </c:pt>
                <c:pt idx="28">
                  <c:v>0.14211492043285862</c:v>
                </c:pt>
                <c:pt idx="29">
                  <c:v>0.23932010206867332</c:v>
                </c:pt>
                <c:pt idx="30">
                  <c:v>0.38551166213617888</c:v>
                </c:pt>
                <c:pt idx="31">
                  <c:v>0.59640430063075611</c:v>
                </c:pt>
                <c:pt idx="32">
                  <c:v>0.889258276602648</c:v>
                </c:pt>
                <c:pt idx="33">
                  <c:v>1.2819655844199846</c:v>
                </c:pt>
                <c:pt idx="34">
                  <c:v>1.7919393129010484</c:v>
                </c:pt>
                <c:pt idx="35">
                  <c:v>2.4349145271076802</c:v>
                </c:pt>
                <c:pt idx="36">
                  <c:v>3.2237828783685485</c:v>
                </c:pt>
                <c:pt idx="37">
                  <c:v>4.1675787031999789</c:v>
                </c:pt>
                <c:pt idx="38">
                  <c:v>5.2707138868214161</c:v>
                </c:pt>
                <c:pt idx="39">
                  <c:v>6.5325270273534626</c:v>
                </c:pt>
                <c:pt idx="40">
                  <c:v>7.9471753995210994</c:v>
                </c:pt>
                <c:pt idx="41">
                  <c:v>9.5038617191809536</c:v>
                </c:pt>
                <c:pt idx="42">
                  <c:v>11.187356493651849</c:v>
                </c:pt>
                <c:pt idx="43">
                  <c:v>12.978753908083949</c:v>
                </c:pt>
                <c:pt idx="44">
                  <c:v>14.85638608077975</c:v>
                </c:pt>
                <c:pt idx="45">
                  <c:v>16.796816895620665</c:v>
                </c:pt>
                <c:pt idx="46">
                  <c:v>18.775841103985918</c:v>
                </c:pt>
                <c:pt idx="47">
                  <c:v>20.769424913066633</c:v>
                </c:pt>
                <c:pt idx="48">
                  <c:v>22.75453853437514</c:v>
                </c:pt>
                <c:pt idx="49">
                  <c:v>24.709846964339583</c:v>
                </c:pt>
                <c:pt idx="50">
                  <c:v>26.616240772688172</c:v>
                </c:pt>
                <c:pt idx="51">
                  <c:v>28.457202527164647</c:v>
                </c:pt>
                <c:pt idx="52">
                  <c:v>30.219015832926353</c:v>
                </c:pt>
                <c:pt idx="53">
                  <c:v>31.890832420194879</c:v>
                </c:pt>
                <c:pt idx="54">
                  <c:v>33.464618257260021</c:v>
                </c:pt>
                <c:pt idx="55">
                  <c:v>34.93500255173204</c:v>
                </c:pt>
                <c:pt idx="56">
                  <c:v>36.29905415364793</c:v>
                </c:pt>
                <c:pt idx="57">
                  <c:v>37.556008791695447</c:v>
                </c:pt>
                <c:pt idx="58">
                  <c:v>38.706968269684197</c:v>
                </c:pt>
                <c:pt idx="59">
                  <c:v>39.754589695605311</c:v>
                </c:pt>
                <c:pt idx="60">
                  <c:v>40.702779411201178</c:v>
                </c:pt>
                <c:pt idx="61">
                  <c:v>41.556402852951251</c:v>
                </c:pt>
                <c:pt idx="62">
                  <c:v>42.321018337167047</c:v>
                </c:pt>
                <c:pt idx="63">
                  <c:v>43.002639874891173</c:v>
                </c:pt>
                <c:pt idx="64">
                  <c:v>43.607531671469225</c:v>
                </c:pt>
                <c:pt idx="65">
                  <c:v>44.142034982191376</c:v>
                </c:pt>
                <c:pt idx="66">
                  <c:v>44.612426470530998</c:v>
                </c:pt>
                <c:pt idx="67">
                  <c:v>45.024806113238611</c:v>
                </c:pt>
                <c:pt idx="68">
                  <c:v>45.385011964444871</c:v>
                </c:pt>
                <c:pt idx="69">
                  <c:v>45.698558668738592</c:v>
                </c:pt>
                <c:pt idx="70">
                  <c:v>45.970596439323373</c:v>
                </c:pt>
                <c:pt idx="71">
                  <c:v>46.205887233366475</c:v>
                </c:pt>
                <c:pt idx="72">
                  <c:v>46.40879501005363</c:v>
                </c:pt>
                <c:pt idx="73">
                  <c:v>46.583287202632874</c:v>
                </c:pt>
                <c:pt idx="74">
                  <c:v>46.732944836818412</c:v>
                </c:pt>
                <c:pt idx="75">
                  <c:v>46.86097905505283</c:v>
                </c:pt>
                <c:pt idx="76">
                  <c:v>46.970252137140676</c:v>
                </c:pt>
                <c:pt idx="77">
                  <c:v>47.063301426747785</c:v>
                </c:pt>
                <c:pt idx="78">
                  <c:v>47.142364869513685</c:v>
                </c:pt>
                <c:pt idx="79">
                  <c:v>47.209407135577429</c:v>
                </c:pt>
                <c:pt idx="80">
                  <c:v>47.266145533981948</c:v>
                </c:pt>
                <c:pt idx="81">
                  <c:v>47.314075127961019</c:v>
                </c:pt>
                <c:pt idx="82">
                  <c:v>47.354492629531343</c:v>
                </c:pt>
                <c:pt idx="83">
                  <c:v>47.388518791273519</c:v>
                </c:pt>
                <c:pt idx="84">
                  <c:v>47.417119125553221</c:v>
                </c:pt>
                <c:pt idx="85">
                  <c:v>47.441122869915745</c:v>
                </c:pt>
                <c:pt idx="86">
                  <c:v>47.461240185278882</c:v>
                </c:pt>
                <c:pt idx="87">
                  <c:v>47.478077624050925</c:v>
                </c:pt>
                <c:pt idx="88">
                  <c:v>47.492151941398582</c:v>
                </c:pt>
                <c:pt idx="89">
                  <c:v>47.50390234728642</c:v>
                </c:pt>
                <c:pt idx="90">
                  <c:v>47.513701311986303</c:v>
                </c:pt>
                <c:pt idx="91">
                  <c:v>47.521864045570055</c:v>
                </c:pt>
                <c:pt idx="92">
                  <c:v>47.528656774189663</c:v>
                </c:pt>
                <c:pt idx="93">
                  <c:v>47.534303934161841</c:v>
                </c:pt>
                <c:pt idx="94">
                  <c:v>47.538994400187732</c:v>
                </c:pt>
                <c:pt idx="95">
                  <c:v>47.542886857397782</c:v>
                </c:pt>
                <c:pt idx="96">
                  <c:v>47.54611441906021</c:v>
                </c:pt>
                <c:pt idx="97">
                  <c:v>47.548788583301359</c:v>
                </c:pt>
                <c:pt idx="98">
                  <c:v>47.551002613488322</c:v>
                </c:pt>
                <c:pt idx="99">
                  <c:v>47.552834418332338</c:v>
                </c:pt>
                <c:pt idx="100">
                  <c:v>47.5543489995082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3285200"/>
        <c:axId val="1633283568"/>
      </c:lineChart>
      <c:catAx>
        <c:axId val="163328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283568"/>
        <c:crosses val="autoZero"/>
        <c:auto val="1"/>
        <c:lblAlgn val="ctr"/>
        <c:lblOffset val="100"/>
        <c:noMultiLvlLbl val="0"/>
      </c:catAx>
      <c:valAx>
        <c:axId val="16332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28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Stock Price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Sheet3!$D$2:$D$251</c:f>
              <c:numCache>
                <c:formatCode>General</c:formatCode>
                <c:ptCount val="250"/>
                <c:pt idx="0">
                  <c:v>50.991967183550443</c:v>
                </c:pt>
                <c:pt idx="1">
                  <c:v>51.169129667390422</c:v>
                </c:pt>
                <c:pt idx="2">
                  <c:v>50.412719991156514</c:v>
                </c:pt>
                <c:pt idx="3">
                  <c:v>51.381096397263263</c:v>
                </c:pt>
                <c:pt idx="4">
                  <c:v>51.430187361528496</c:v>
                </c:pt>
                <c:pt idx="5">
                  <c:v>51.798990565636146</c:v>
                </c:pt>
                <c:pt idx="6">
                  <c:v>51.691191222264365</c:v>
                </c:pt>
                <c:pt idx="7">
                  <c:v>52.851173268236202</c:v>
                </c:pt>
                <c:pt idx="8">
                  <c:v>53.100229431410519</c:v>
                </c:pt>
                <c:pt idx="9">
                  <c:v>53.268405409407407</c:v>
                </c:pt>
                <c:pt idx="10">
                  <c:v>51.998367217893112</c:v>
                </c:pt>
                <c:pt idx="11">
                  <c:v>51.040260090124661</c:v>
                </c:pt>
                <c:pt idx="12">
                  <c:v>50.679743429318016</c:v>
                </c:pt>
                <c:pt idx="13">
                  <c:v>50.278540339571173</c:v>
                </c:pt>
                <c:pt idx="14">
                  <c:v>51.325859912142406</c:v>
                </c:pt>
                <c:pt idx="15">
                  <c:v>51.527932695312593</c:v>
                </c:pt>
                <c:pt idx="16">
                  <c:v>51.801701633704972</c:v>
                </c:pt>
                <c:pt idx="17">
                  <c:v>51.879567812844101</c:v>
                </c:pt>
                <c:pt idx="18">
                  <c:v>52.199197312969915</c:v>
                </c:pt>
                <c:pt idx="19">
                  <c:v>51.063850877575724</c:v>
                </c:pt>
                <c:pt idx="20">
                  <c:v>51.357925903749383</c:v>
                </c:pt>
                <c:pt idx="21">
                  <c:v>51.530303304470486</c:v>
                </c:pt>
                <c:pt idx="22">
                  <c:v>51.842489452099954</c:v>
                </c:pt>
                <c:pt idx="23">
                  <c:v>51.591898565572535</c:v>
                </c:pt>
                <c:pt idx="24">
                  <c:v>51.48732725388502</c:v>
                </c:pt>
                <c:pt idx="25">
                  <c:v>51.366248222455141</c:v>
                </c:pt>
                <c:pt idx="26">
                  <c:v>52.016547927356598</c:v>
                </c:pt>
                <c:pt idx="27">
                  <c:v>52.24154759101998</c:v>
                </c:pt>
                <c:pt idx="28">
                  <c:v>52.705080802597443</c:v>
                </c:pt>
                <c:pt idx="29">
                  <c:v>52.410394348228131</c:v>
                </c:pt>
                <c:pt idx="30">
                  <c:v>50.838749796288077</c:v>
                </c:pt>
                <c:pt idx="31">
                  <c:v>50.936464089269535</c:v>
                </c:pt>
                <c:pt idx="32">
                  <c:v>51.19809505592702</c:v>
                </c:pt>
                <c:pt idx="33">
                  <c:v>51.130334833743731</c:v>
                </c:pt>
                <c:pt idx="34">
                  <c:v>51.129440757715663</c:v>
                </c:pt>
                <c:pt idx="35">
                  <c:v>51.881251354091425</c:v>
                </c:pt>
                <c:pt idx="36">
                  <c:v>52.570688015778288</c:v>
                </c:pt>
                <c:pt idx="37">
                  <c:v>52.196950102325438</c:v>
                </c:pt>
                <c:pt idx="38">
                  <c:v>52.302152163752901</c:v>
                </c:pt>
                <c:pt idx="39">
                  <c:v>53.187958381336969</c:v>
                </c:pt>
                <c:pt idx="40">
                  <c:v>52.771387095177758</c:v>
                </c:pt>
                <c:pt idx="41">
                  <c:v>51.973642692220871</c:v>
                </c:pt>
                <c:pt idx="42">
                  <c:v>52.872071561073597</c:v>
                </c:pt>
                <c:pt idx="43">
                  <c:v>51.831220440289158</c:v>
                </c:pt>
                <c:pt idx="44">
                  <c:v>51.874978197424987</c:v>
                </c:pt>
                <c:pt idx="45">
                  <c:v>52.000084920525595</c:v>
                </c:pt>
                <c:pt idx="46">
                  <c:v>51.487517957331654</c:v>
                </c:pt>
                <c:pt idx="47">
                  <c:v>51.165460093161414</c:v>
                </c:pt>
                <c:pt idx="48">
                  <c:v>51.097796522443019</c:v>
                </c:pt>
                <c:pt idx="49">
                  <c:v>50.346054118545084</c:v>
                </c:pt>
                <c:pt idx="50">
                  <c:v>50.492138382196927</c:v>
                </c:pt>
                <c:pt idx="51">
                  <c:v>50.861276833156097</c:v>
                </c:pt>
                <c:pt idx="52">
                  <c:v>51.015665366570438</c:v>
                </c:pt>
                <c:pt idx="53">
                  <c:v>51.084976563843448</c:v>
                </c:pt>
                <c:pt idx="54">
                  <c:v>50.270490904302598</c:v>
                </c:pt>
                <c:pt idx="55">
                  <c:v>51.1679170370899</c:v>
                </c:pt>
                <c:pt idx="56">
                  <c:v>51.454152286986826</c:v>
                </c:pt>
                <c:pt idx="57">
                  <c:v>51.372354398203555</c:v>
                </c:pt>
                <c:pt idx="58">
                  <c:v>50.997274076133223</c:v>
                </c:pt>
                <c:pt idx="59">
                  <c:v>51.220596205150947</c:v>
                </c:pt>
                <c:pt idx="60">
                  <c:v>50.472385669393354</c:v>
                </c:pt>
                <c:pt idx="61">
                  <c:v>50.979015233721881</c:v>
                </c:pt>
                <c:pt idx="62">
                  <c:v>51.144039657537505</c:v>
                </c:pt>
                <c:pt idx="63">
                  <c:v>50.482899861034177</c:v>
                </c:pt>
                <c:pt idx="64">
                  <c:v>50.638665233830721</c:v>
                </c:pt>
                <c:pt idx="65">
                  <c:v>50.341380420137213</c:v>
                </c:pt>
                <c:pt idx="66">
                  <c:v>51.804476497575131</c:v>
                </c:pt>
                <c:pt idx="67">
                  <c:v>52.475881748314201</c:v>
                </c:pt>
                <c:pt idx="68">
                  <c:v>52.361016829111705</c:v>
                </c:pt>
                <c:pt idx="69">
                  <c:v>51.683959622193953</c:v>
                </c:pt>
                <c:pt idx="70">
                  <c:v>51.409849873221944</c:v>
                </c:pt>
                <c:pt idx="71">
                  <c:v>51.689688742040325</c:v>
                </c:pt>
                <c:pt idx="72">
                  <c:v>51.08259679817651</c:v>
                </c:pt>
                <c:pt idx="73">
                  <c:v>50.55912005288986</c:v>
                </c:pt>
                <c:pt idx="74">
                  <c:v>51.789057993984244</c:v>
                </c:pt>
                <c:pt idx="75">
                  <c:v>52.022145198948159</c:v>
                </c:pt>
                <c:pt idx="76">
                  <c:v>51.105902579489715</c:v>
                </c:pt>
                <c:pt idx="77">
                  <c:v>51.526141691343561</c:v>
                </c:pt>
                <c:pt idx="78">
                  <c:v>50.959868779284726</c:v>
                </c:pt>
                <c:pt idx="79">
                  <c:v>50.747207503313611</c:v>
                </c:pt>
                <c:pt idx="80">
                  <c:v>50.914368330484869</c:v>
                </c:pt>
                <c:pt idx="81">
                  <c:v>51.543217126181432</c:v>
                </c:pt>
                <c:pt idx="82">
                  <c:v>51.950661600224841</c:v>
                </c:pt>
                <c:pt idx="83">
                  <c:v>52.026179298638553</c:v>
                </c:pt>
                <c:pt idx="84">
                  <c:v>52.846797895239277</c:v>
                </c:pt>
                <c:pt idx="85">
                  <c:v>53.701988577024331</c:v>
                </c:pt>
                <c:pt idx="86">
                  <c:v>53.335570674897873</c:v>
                </c:pt>
                <c:pt idx="87">
                  <c:v>53.21027277356</c:v>
                </c:pt>
                <c:pt idx="88">
                  <c:v>52.888656768323621</c:v>
                </c:pt>
                <c:pt idx="89">
                  <c:v>52.26080588996583</c:v>
                </c:pt>
                <c:pt idx="90">
                  <c:v>50.927178137443185</c:v>
                </c:pt>
                <c:pt idx="91">
                  <c:v>50.683843791049938</c:v>
                </c:pt>
                <c:pt idx="92">
                  <c:v>51.638748159211332</c:v>
                </c:pt>
                <c:pt idx="93">
                  <c:v>51.144607358155788</c:v>
                </c:pt>
                <c:pt idx="94">
                  <c:v>49.832496774743781</c:v>
                </c:pt>
                <c:pt idx="95">
                  <c:v>49.394592596708286</c:v>
                </c:pt>
                <c:pt idx="96">
                  <c:v>47.813604785720493</c:v>
                </c:pt>
                <c:pt idx="97">
                  <c:v>47.732634504810683</c:v>
                </c:pt>
                <c:pt idx="98">
                  <c:v>48.354041264506947</c:v>
                </c:pt>
                <c:pt idx="99">
                  <c:v>47.551508310580317</c:v>
                </c:pt>
                <c:pt idx="100">
                  <c:v>47.572941870258163</c:v>
                </c:pt>
                <c:pt idx="101">
                  <c:v>47.669418175543939</c:v>
                </c:pt>
                <c:pt idx="102">
                  <c:v>46.064264706104929</c:v>
                </c:pt>
                <c:pt idx="103">
                  <c:v>46.038471709006338</c:v>
                </c:pt>
                <c:pt idx="104">
                  <c:v>46.218531326730798</c:v>
                </c:pt>
                <c:pt idx="105">
                  <c:v>45.550183354188981</c:v>
                </c:pt>
                <c:pt idx="106">
                  <c:v>33.000872368370693</c:v>
                </c:pt>
                <c:pt idx="107">
                  <c:v>32.168906695992405</c:v>
                </c:pt>
                <c:pt idx="108">
                  <c:v>34.032738735422448</c:v>
                </c:pt>
                <c:pt idx="109">
                  <c:v>33.537168274387632</c:v>
                </c:pt>
                <c:pt idx="110">
                  <c:v>32.84759249399702</c:v>
                </c:pt>
                <c:pt idx="111">
                  <c:v>32.682673330011113</c:v>
                </c:pt>
                <c:pt idx="112">
                  <c:v>33.310030152987487</c:v>
                </c:pt>
                <c:pt idx="113">
                  <c:v>33.166094533558365</c:v>
                </c:pt>
                <c:pt idx="114">
                  <c:v>33.485431884775537</c:v>
                </c:pt>
                <c:pt idx="115">
                  <c:v>33.878391726865857</c:v>
                </c:pt>
                <c:pt idx="116">
                  <c:v>34.496436116813307</c:v>
                </c:pt>
                <c:pt idx="117">
                  <c:v>34.502824944645802</c:v>
                </c:pt>
                <c:pt idx="118">
                  <c:v>33.98024840586482</c:v>
                </c:pt>
                <c:pt idx="119">
                  <c:v>34.114963047517143</c:v>
                </c:pt>
                <c:pt idx="120">
                  <c:v>34.558708563258556</c:v>
                </c:pt>
                <c:pt idx="121">
                  <c:v>34.35145531454716</c:v>
                </c:pt>
                <c:pt idx="122">
                  <c:v>33.561158302227028</c:v>
                </c:pt>
                <c:pt idx="123">
                  <c:v>33.489671090886624</c:v>
                </c:pt>
                <c:pt idx="124">
                  <c:v>34.018804169815205</c:v>
                </c:pt>
                <c:pt idx="125">
                  <c:v>34.049717060280052</c:v>
                </c:pt>
                <c:pt idx="126">
                  <c:v>33.444844771128835</c:v>
                </c:pt>
                <c:pt idx="127">
                  <c:v>32.996649405610029</c:v>
                </c:pt>
                <c:pt idx="128">
                  <c:v>32.422576510207477</c:v>
                </c:pt>
                <c:pt idx="129">
                  <c:v>32.229808326330399</c:v>
                </c:pt>
                <c:pt idx="130">
                  <c:v>32.691521921670379</c:v>
                </c:pt>
                <c:pt idx="131">
                  <c:v>32.534507956488817</c:v>
                </c:pt>
                <c:pt idx="132">
                  <c:v>32.836017435186598</c:v>
                </c:pt>
                <c:pt idx="133">
                  <c:v>33.219929558819892</c:v>
                </c:pt>
                <c:pt idx="134">
                  <c:v>33.334985898335823</c:v>
                </c:pt>
                <c:pt idx="135">
                  <c:v>33.776310412550153</c:v>
                </c:pt>
                <c:pt idx="136">
                  <c:v>33.273057978394831</c:v>
                </c:pt>
                <c:pt idx="137">
                  <c:v>33.406728191359775</c:v>
                </c:pt>
                <c:pt idx="138">
                  <c:v>33.47902003830913</c:v>
                </c:pt>
                <c:pt idx="139">
                  <c:v>33.033132464897776</c:v>
                </c:pt>
                <c:pt idx="140">
                  <c:v>33.187761300614099</c:v>
                </c:pt>
                <c:pt idx="141">
                  <c:v>32.925003895894612</c:v>
                </c:pt>
                <c:pt idx="142">
                  <c:v>33.03867573222194</c:v>
                </c:pt>
                <c:pt idx="143">
                  <c:v>33.676380983059076</c:v>
                </c:pt>
                <c:pt idx="144">
                  <c:v>33.869204883775154</c:v>
                </c:pt>
                <c:pt idx="145">
                  <c:v>34.142309871051893</c:v>
                </c:pt>
                <c:pt idx="146">
                  <c:v>34.321415451439954</c:v>
                </c:pt>
                <c:pt idx="147">
                  <c:v>34.46800514434004</c:v>
                </c:pt>
                <c:pt idx="148">
                  <c:v>34.960941320912248</c:v>
                </c:pt>
                <c:pt idx="149">
                  <c:v>35.923371897937471</c:v>
                </c:pt>
                <c:pt idx="150">
                  <c:v>35.602328178221825</c:v>
                </c:pt>
                <c:pt idx="151">
                  <c:v>36.051704256671037</c:v>
                </c:pt>
                <c:pt idx="152">
                  <c:v>36.320941733483188</c:v>
                </c:pt>
                <c:pt idx="153">
                  <c:v>36.220169485412406</c:v>
                </c:pt>
                <c:pt idx="154">
                  <c:v>36.911434362730517</c:v>
                </c:pt>
                <c:pt idx="155">
                  <c:v>37.450928695540782</c:v>
                </c:pt>
                <c:pt idx="156">
                  <c:v>36.645292382437937</c:v>
                </c:pt>
                <c:pt idx="157">
                  <c:v>36.4878289156959</c:v>
                </c:pt>
                <c:pt idx="158">
                  <c:v>37.11954472070655</c:v>
                </c:pt>
                <c:pt idx="159">
                  <c:v>36.80948873409001</c:v>
                </c:pt>
                <c:pt idx="160">
                  <c:v>36.793067211908522</c:v>
                </c:pt>
                <c:pt idx="161">
                  <c:v>36.977702163269264</c:v>
                </c:pt>
                <c:pt idx="162">
                  <c:v>36.890379637273291</c:v>
                </c:pt>
                <c:pt idx="163">
                  <c:v>36.488925743372519</c:v>
                </c:pt>
                <c:pt idx="164">
                  <c:v>35.471883835510781</c:v>
                </c:pt>
                <c:pt idx="165">
                  <c:v>34.636343521395347</c:v>
                </c:pt>
                <c:pt idx="166">
                  <c:v>34.397744032292735</c:v>
                </c:pt>
                <c:pt idx="167">
                  <c:v>33.884990120588846</c:v>
                </c:pt>
                <c:pt idx="168">
                  <c:v>33.817862022785249</c:v>
                </c:pt>
                <c:pt idx="169">
                  <c:v>34.06068681443363</c:v>
                </c:pt>
                <c:pt idx="170">
                  <c:v>33.972194733204645</c:v>
                </c:pt>
                <c:pt idx="171">
                  <c:v>33.534472400127171</c:v>
                </c:pt>
                <c:pt idx="172">
                  <c:v>34.032709731561624</c:v>
                </c:pt>
                <c:pt idx="173">
                  <c:v>34.50584192243231</c:v>
                </c:pt>
                <c:pt idx="174">
                  <c:v>34.256799381472604</c:v>
                </c:pt>
                <c:pt idx="175">
                  <c:v>30.914948795708025</c:v>
                </c:pt>
                <c:pt idx="176">
                  <c:v>30.714545657329836</c:v>
                </c:pt>
                <c:pt idx="177">
                  <c:v>31.544263160367258</c:v>
                </c:pt>
                <c:pt idx="178">
                  <c:v>32.010595181536196</c:v>
                </c:pt>
                <c:pt idx="179">
                  <c:v>31.711416930365495</c:v>
                </c:pt>
                <c:pt idx="180">
                  <c:v>31.936322592494093</c:v>
                </c:pt>
                <c:pt idx="181">
                  <c:v>31.902124134572997</c:v>
                </c:pt>
                <c:pt idx="182">
                  <c:v>31.855290742940436</c:v>
                </c:pt>
                <c:pt idx="183">
                  <c:v>32.025036943454296</c:v>
                </c:pt>
                <c:pt idx="184">
                  <c:v>32.655102583315262</c:v>
                </c:pt>
                <c:pt idx="185">
                  <c:v>32.63936739546493</c:v>
                </c:pt>
                <c:pt idx="186">
                  <c:v>32.396307304128186</c:v>
                </c:pt>
                <c:pt idx="187">
                  <c:v>33.389736701375483</c:v>
                </c:pt>
                <c:pt idx="188">
                  <c:v>32.976529662951862</c:v>
                </c:pt>
                <c:pt idx="189">
                  <c:v>33.09341684886661</c:v>
                </c:pt>
                <c:pt idx="190">
                  <c:v>33.062744551741005</c:v>
                </c:pt>
                <c:pt idx="191">
                  <c:v>32.846457719193275</c:v>
                </c:pt>
                <c:pt idx="192">
                  <c:v>32.235546362736621</c:v>
                </c:pt>
                <c:pt idx="193">
                  <c:v>41.482748837138345</c:v>
                </c:pt>
                <c:pt idx="194">
                  <c:v>41.196023706030871</c:v>
                </c:pt>
                <c:pt idx="195">
                  <c:v>41.272561125478397</c:v>
                </c:pt>
                <c:pt idx="196">
                  <c:v>41.909824779886598</c:v>
                </c:pt>
                <c:pt idx="197">
                  <c:v>42.333077152871951</c:v>
                </c:pt>
                <c:pt idx="198">
                  <c:v>42.572835071370932</c:v>
                </c:pt>
                <c:pt idx="199">
                  <c:v>42.337754608714675</c:v>
                </c:pt>
                <c:pt idx="200">
                  <c:v>43.434233591291495</c:v>
                </c:pt>
                <c:pt idx="201">
                  <c:v>44.028088008350437</c:v>
                </c:pt>
                <c:pt idx="202">
                  <c:v>43.999505185219313</c:v>
                </c:pt>
                <c:pt idx="203">
                  <c:v>45.051764379331551</c:v>
                </c:pt>
                <c:pt idx="204">
                  <c:v>44.509895496015723</c:v>
                </c:pt>
                <c:pt idx="205">
                  <c:v>44.266398961789349</c:v>
                </c:pt>
                <c:pt idx="206">
                  <c:v>44.507159398765296</c:v>
                </c:pt>
                <c:pt idx="207">
                  <c:v>43.647920958842199</c:v>
                </c:pt>
                <c:pt idx="208">
                  <c:v>43.936171097528387</c:v>
                </c:pt>
                <c:pt idx="209">
                  <c:v>43.779566348193775</c:v>
                </c:pt>
                <c:pt idx="210">
                  <c:v>44.457529960178768</c:v>
                </c:pt>
                <c:pt idx="211">
                  <c:v>44.482652163525593</c:v>
                </c:pt>
                <c:pt idx="212">
                  <c:v>44.884619403384868</c:v>
                </c:pt>
                <c:pt idx="213">
                  <c:v>45.345841949603631</c:v>
                </c:pt>
                <c:pt idx="214">
                  <c:v>43.932731752601192</c:v>
                </c:pt>
                <c:pt idx="215">
                  <c:v>43.116617219866349</c:v>
                </c:pt>
                <c:pt idx="216">
                  <c:v>41.765622020999189</c:v>
                </c:pt>
                <c:pt idx="217">
                  <c:v>41.605120983329691</c:v>
                </c:pt>
                <c:pt idx="218">
                  <c:v>41.724040551514797</c:v>
                </c:pt>
                <c:pt idx="219">
                  <c:v>42.154827905220323</c:v>
                </c:pt>
                <c:pt idx="220">
                  <c:v>41.229960234492054</c:v>
                </c:pt>
                <c:pt idx="221">
                  <c:v>41.328028180867577</c:v>
                </c:pt>
                <c:pt idx="222">
                  <c:v>41.188298319931931</c:v>
                </c:pt>
                <c:pt idx="223">
                  <c:v>41.288066696095719</c:v>
                </c:pt>
                <c:pt idx="224">
                  <c:v>42.010003334475904</c:v>
                </c:pt>
                <c:pt idx="225">
                  <c:v>42.608487251614683</c:v>
                </c:pt>
                <c:pt idx="226">
                  <c:v>43.282615862860332</c:v>
                </c:pt>
                <c:pt idx="227">
                  <c:v>43.485574900730526</c:v>
                </c:pt>
                <c:pt idx="228">
                  <c:v>43.683970708710639</c:v>
                </c:pt>
                <c:pt idx="229">
                  <c:v>43.45878967264494</c:v>
                </c:pt>
                <c:pt idx="230">
                  <c:v>43.851088076795797</c:v>
                </c:pt>
                <c:pt idx="231">
                  <c:v>42.93109597611069</c:v>
                </c:pt>
                <c:pt idx="232">
                  <c:v>34.74756587352033</c:v>
                </c:pt>
                <c:pt idx="233">
                  <c:v>34.78864083947191</c:v>
                </c:pt>
                <c:pt idx="234">
                  <c:v>34.785275748191857</c:v>
                </c:pt>
                <c:pt idx="235">
                  <c:v>34.402983712242367</c:v>
                </c:pt>
                <c:pt idx="236">
                  <c:v>34.372272735273484</c:v>
                </c:pt>
                <c:pt idx="237">
                  <c:v>34.568653038019754</c:v>
                </c:pt>
                <c:pt idx="238">
                  <c:v>34.161039950716848</c:v>
                </c:pt>
                <c:pt idx="239">
                  <c:v>33.95465049196256</c:v>
                </c:pt>
                <c:pt idx="240">
                  <c:v>34.227472526855713</c:v>
                </c:pt>
                <c:pt idx="241">
                  <c:v>34.125542686871533</c:v>
                </c:pt>
                <c:pt idx="242">
                  <c:v>34.61769174516165</c:v>
                </c:pt>
                <c:pt idx="243">
                  <c:v>34.63517847699547</c:v>
                </c:pt>
                <c:pt idx="244">
                  <c:v>35.069144492185181</c:v>
                </c:pt>
                <c:pt idx="245">
                  <c:v>34.42504180713869</c:v>
                </c:pt>
                <c:pt idx="246">
                  <c:v>34.57494135051374</c:v>
                </c:pt>
                <c:pt idx="247">
                  <c:v>33.385345594150266</c:v>
                </c:pt>
                <c:pt idx="248">
                  <c:v>33.307765837591091</c:v>
                </c:pt>
                <c:pt idx="249">
                  <c:v>33.156281784026078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4962816"/>
        <c:axId val="1634973152"/>
      </c:lineChart>
      <c:catAx>
        <c:axId val="163496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973152"/>
        <c:crosses val="autoZero"/>
        <c:auto val="1"/>
        <c:lblAlgn val="ctr"/>
        <c:lblOffset val="100"/>
        <c:noMultiLvlLbl val="0"/>
      </c:catAx>
      <c:valAx>
        <c:axId val="163497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96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Stock</a:t>
            </a:r>
            <a:r>
              <a:rPr lang="en-US" altLang="zh-CN" baseline="0"/>
              <a:t>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Sheet4!$D$2:$D$251</c:f>
              <c:numCache>
                <c:formatCode>General</c:formatCode>
                <c:ptCount val="250"/>
                <c:pt idx="0">
                  <c:v>49.764894666982784</c:v>
                </c:pt>
                <c:pt idx="1">
                  <c:v>50.411987096631428</c:v>
                </c:pt>
                <c:pt idx="2">
                  <c:v>50.026398363661386</c:v>
                </c:pt>
                <c:pt idx="3">
                  <c:v>49.997469395343181</c:v>
                </c:pt>
                <c:pt idx="4">
                  <c:v>49.764146661431027</c:v>
                </c:pt>
                <c:pt idx="5">
                  <c:v>50.00244812360495</c:v>
                </c:pt>
                <c:pt idx="6">
                  <c:v>50.126657797045233</c:v>
                </c:pt>
                <c:pt idx="7">
                  <c:v>49.641988893438487</c:v>
                </c:pt>
                <c:pt idx="8">
                  <c:v>50.720746220209556</c:v>
                </c:pt>
                <c:pt idx="9">
                  <c:v>50.74327321082999</c:v>
                </c:pt>
                <c:pt idx="10">
                  <c:v>56.514808725393671</c:v>
                </c:pt>
                <c:pt idx="11">
                  <c:v>57.351311349246316</c:v>
                </c:pt>
                <c:pt idx="12">
                  <c:v>57.458569167126399</c:v>
                </c:pt>
                <c:pt idx="13">
                  <c:v>58.240727890940818</c:v>
                </c:pt>
                <c:pt idx="14">
                  <c:v>58.662910525505609</c:v>
                </c:pt>
                <c:pt idx="15">
                  <c:v>58.325947884969359</c:v>
                </c:pt>
                <c:pt idx="16">
                  <c:v>57.974051376251147</c:v>
                </c:pt>
                <c:pt idx="17">
                  <c:v>57.794526809795855</c:v>
                </c:pt>
                <c:pt idx="18">
                  <c:v>56.960101591489156</c:v>
                </c:pt>
                <c:pt idx="19">
                  <c:v>57.204460733173526</c:v>
                </c:pt>
                <c:pt idx="20">
                  <c:v>57.418041103436749</c:v>
                </c:pt>
                <c:pt idx="21">
                  <c:v>58.180042307483795</c:v>
                </c:pt>
                <c:pt idx="22">
                  <c:v>59.527196298999357</c:v>
                </c:pt>
                <c:pt idx="23">
                  <c:v>59.229678482230632</c:v>
                </c:pt>
                <c:pt idx="24">
                  <c:v>58.937348495310403</c:v>
                </c:pt>
                <c:pt idx="25">
                  <c:v>58.382147738200153</c:v>
                </c:pt>
                <c:pt idx="26">
                  <c:v>58.232040247768275</c:v>
                </c:pt>
                <c:pt idx="27">
                  <c:v>57.22953225866037</c:v>
                </c:pt>
                <c:pt idx="28">
                  <c:v>56.329634519920894</c:v>
                </c:pt>
                <c:pt idx="29">
                  <c:v>57.155459329640138</c:v>
                </c:pt>
                <c:pt idx="30">
                  <c:v>57.366915791754906</c:v>
                </c:pt>
                <c:pt idx="31">
                  <c:v>56.201616818419645</c:v>
                </c:pt>
                <c:pt idx="32">
                  <c:v>56.555390848138615</c:v>
                </c:pt>
                <c:pt idx="33">
                  <c:v>57.943655738805447</c:v>
                </c:pt>
                <c:pt idx="34">
                  <c:v>57.154766949301695</c:v>
                </c:pt>
                <c:pt idx="35">
                  <c:v>57.205357130696711</c:v>
                </c:pt>
                <c:pt idx="36">
                  <c:v>57.386200416399319</c:v>
                </c:pt>
                <c:pt idx="37">
                  <c:v>55.98500804200237</c:v>
                </c:pt>
                <c:pt idx="38">
                  <c:v>56.050483912123617</c:v>
                </c:pt>
                <c:pt idx="39">
                  <c:v>55.799182589379768</c:v>
                </c:pt>
                <c:pt idx="40">
                  <c:v>55.86147244322003</c:v>
                </c:pt>
                <c:pt idx="41">
                  <c:v>55.624050045291476</c:v>
                </c:pt>
                <c:pt idx="42">
                  <c:v>56.204948835205499</c:v>
                </c:pt>
                <c:pt idx="43">
                  <c:v>56.186886688235973</c:v>
                </c:pt>
                <c:pt idx="44">
                  <c:v>57.12457726821107</c:v>
                </c:pt>
                <c:pt idx="45">
                  <c:v>57.414238468752579</c:v>
                </c:pt>
                <c:pt idx="46">
                  <c:v>58.206250958470179</c:v>
                </c:pt>
                <c:pt idx="47">
                  <c:v>58.067749175910187</c:v>
                </c:pt>
                <c:pt idx="48">
                  <c:v>57.73150838083437</c:v>
                </c:pt>
                <c:pt idx="49">
                  <c:v>57.506920862089324</c:v>
                </c:pt>
                <c:pt idx="50">
                  <c:v>56.709612306551236</c:v>
                </c:pt>
                <c:pt idx="51">
                  <c:v>57.21270542812357</c:v>
                </c:pt>
                <c:pt idx="52">
                  <c:v>56.275947639097758</c:v>
                </c:pt>
                <c:pt idx="53">
                  <c:v>56.012909379332328</c:v>
                </c:pt>
                <c:pt idx="54">
                  <c:v>57.332705855932396</c:v>
                </c:pt>
                <c:pt idx="55">
                  <c:v>57.626266345368997</c:v>
                </c:pt>
                <c:pt idx="56">
                  <c:v>58.111050758829471</c:v>
                </c:pt>
                <c:pt idx="57">
                  <c:v>57.569710466301807</c:v>
                </c:pt>
                <c:pt idx="58">
                  <c:v>56.870885340185879</c:v>
                </c:pt>
                <c:pt idx="59">
                  <c:v>56.629115010677275</c:v>
                </c:pt>
                <c:pt idx="60">
                  <c:v>56.609218448023981</c:v>
                </c:pt>
                <c:pt idx="61">
                  <c:v>58.011516940060801</c:v>
                </c:pt>
                <c:pt idx="62">
                  <c:v>57.992602040035834</c:v>
                </c:pt>
                <c:pt idx="63">
                  <c:v>58.413407172548993</c:v>
                </c:pt>
                <c:pt idx="64">
                  <c:v>58.90448068025713</c:v>
                </c:pt>
                <c:pt idx="65">
                  <c:v>58.706727665671352</c:v>
                </c:pt>
                <c:pt idx="66">
                  <c:v>57.921474307119077</c:v>
                </c:pt>
                <c:pt idx="67">
                  <c:v>58.116987003968923</c:v>
                </c:pt>
                <c:pt idx="68">
                  <c:v>58.391824269648026</c:v>
                </c:pt>
                <c:pt idx="69">
                  <c:v>58.60963410046611</c:v>
                </c:pt>
                <c:pt idx="70">
                  <c:v>58.220022067541429</c:v>
                </c:pt>
                <c:pt idx="71">
                  <c:v>58.246833259030183</c:v>
                </c:pt>
                <c:pt idx="72">
                  <c:v>58.273506307170926</c:v>
                </c:pt>
                <c:pt idx="73">
                  <c:v>58.452665971669596</c:v>
                </c:pt>
                <c:pt idx="74">
                  <c:v>58.583759558745264</c:v>
                </c:pt>
                <c:pt idx="75">
                  <c:v>55.935456083068281</c:v>
                </c:pt>
                <c:pt idx="76">
                  <c:v>55.72820907475392</c:v>
                </c:pt>
                <c:pt idx="77">
                  <c:v>55.945828271299362</c:v>
                </c:pt>
                <c:pt idx="78">
                  <c:v>55.996474547282347</c:v>
                </c:pt>
                <c:pt idx="79">
                  <c:v>55.426894550964882</c:v>
                </c:pt>
                <c:pt idx="80">
                  <c:v>55.411897323304132</c:v>
                </c:pt>
                <c:pt idx="81">
                  <c:v>56.015403178151224</c:v>
                </c:pt>
                <c:pt idx="82">
                  <c:v>55.414176805659572</c:v>
                </c:pt>
                <c:pt idx="83">
                  <c:v>55.143719786678517</c:v>
                </c:pt>
                <c:pt idx="84">
                  <c:v>55.665377122082376</c:v>
                </c:pt>
                <c:pt idx="85">
                  <c:v>55.825880821357686</c:v>
                </c:pt>
                <c:pt idx="86">
                  <c:v>55.92483406096359</c:v>
                </c:pt>
                <c:pt idx="87">
                  <c:v>55.36676868679055</c:v>
                </c:pt>
                <c:pt idx="88">
                  <c:v>55.132960590043552</c:v>
                </c:pt>
                <c:pt idx="89">
                  <c:v>54.653605383868104</c:v>
                </c:pt>
                <c:pt idx="90">
                  <c:v>53.356321691794626</c:v>
                </c:pt>
                <c:pt idx="91">
                  <c:v>53.668032233610184</c:v>
                </c:pt>
                <c:pt idx="92">
                  <c:v>52.888510061898955</c:v>
                </c:pt>
                <c:pt idx="93">
                  <c:v>52.667329095278383</c:v>
                </c:pt>
                <c:pt idx="94">
                  <c:v>51.032560238051339</c:v>
                </c:pt>
                <c:pt idx="95">
                  <c:v>50.461206271017289</c:v>
                </c:pt>
                <c:pt idx="96">
                  <c:v>49.599793336058745</c:v>
                </c:pt>
                <c:pt idx="97">
                  <c:v>49.425022626192558</c:v>
                </c:pt>
                <c:pt idx="98">
                  <c:v>49.143545831754906</c:v>
                </c:pt>
                <c:pt idx="99">
                  <c:v>48.768950353122449</c:v>
                </c:pt>
                <c:pt idx="100">
                  <c:v>47.259488339464987</c:v>
                </c:pt>
                <c:pt idx="101">
                  <c:v>46.324036922740653</c:v>
                </c:pt>
                <c:pt idx="102">
                  <c:v>46.757603043813042</c:v>
                </c:pt>
                <c:pt idx="103">
                  <c:v>45.710189824850445</c:v>
                </c:pt>
                <c:pt idx="104">
                  <c:v>46.290930635300029</c:v>
                </c:pt>
                <c:pt idx="105">
                  <c:v>47.31616686812395</c:v>
                </c:pt>
                <c:pt idx="106">
                  <c:v>47.444098248830123</c:v>
                </c:pt>
                <c:pt idx="107">
                  <c:v>47.710378022678931</c:v>
                </c:pt>
                <c:pt idx="108">
                  <c:v>47.289366741771055</c:v>
                </c:pt>
                <c:pt idx="109">
                  <c:v>45.590345060682431</c:v>
                </c:pt>
                <c:pt idx="110">
                  <c:v>46.627057853621864</c:v>
                </c:pt>
                <c:pt idx="111">
                  <c:v>47.495887237367334</c:v>
                </c:pt>
                <c:pt idx="112">
                  <c:v>46.608854536791178</c:v>
                </c:pt>
                <c:pt idx="113">
                  <c:v>47.482879510014712</c:v>
                </c:pt>
                <c:pt idx="114">
                  <c:v>47.575245159097214</c:v>
                </c:pt>
                <c:pt idx="115">
                  <c:v>47.818668745127098</c:v>
                </c:pt>
                <c:pt idx="116">
                  <c:v>48.55814092941592</c:v>
                </c:pt>
                <c:pt idx="117">
                  <c:v>49.088405287787168</c:v>
                </c:pt>
                <c:pt idx="118">
                  <c:v>50.279586177875252</c:v>
                </c:pt>
                <c:pt idx="119">
                  <c:v>49.889887311523154</c:v>
                </c:pt>
                <c:pt idx="120">
                  <c:v>49.834731879846316</c:v>
                </c:pt>
                <c:pt idx="121">
                  <c:v>49.872191974507324</c:v>
                </c:pt>
                <c:pt idx="122">
                  <c:v>49.465768292211102</c:v>
                </c:pt>
                <c:pt idx="123">
                  <c:v>49.07416237727265</c:v>
                </c:pt>
                <c:pt idx="124">
                  <c:v>48.68847924069054</c:v>
                </c:pt>
                <c:pt idx="125">
                  <c:v>48.379961150132885</c:v>
                </c:pt>
                <c:pt idx="126">
                  <c:v>48.265347553529203</c:v>
                </c:pt>
                <c:pt idx="127">
                  <c:v>48.61911541657927</c:v>
                </c:pt>
                <c:pt idx="128">
                  <c:v>49.741717506761589</c:v>
                </c:pt>
                <c:pt idx="129">
                  <c:v>49.235426762452747</c:v>
                </c:pt>
                <c:pt idx="130">
                  <c:v>50.169929982153462</c:v>
                </c:pt>
                <c:pt idx="131">
                  <c:v>50.664968551737118</c:v>
                </c:pt>
                <c:pt idx="132">
                  <c:v>51.667102480686999</c:v>
                </c:pt>
                <c:pt idx="133">
                  <c:v>51.84962191800858</c:v>
                </c:pt>
                <c:pt idx="134">
                  <c:v>51.295216583573435</c:v>
                </c:pt>
                <c:pt idx="135">
                  <c:v>50.718354435714083</c:v>
                </c:pt>
                <c:pt idx="136">
                  <c:v>51.190367873861113</c:v>
                </c:pt>
                <c:pt idx="137">
                  <c:v>51.557068515530887</c:v>
                </c:pt>
                <c:pt idx="138">
                  <c:v>50.67320609576705</c:v>
                </c:pt>
                <c:pt idx="139">
                  <c:v>51.089740925858052</c:v>
                </c:pt>
                <c:pt idx="140">
                  <c:v>51.486597644618492</c:v>
                </c:pt>
                <c:pt idx="141">
                  <c:v>50.463768597862995</c:v>
                </c:pt>
                <c:pt idx="142">
                  <c:v>50.339027240715417</c:v>
                </c:pt>
                <c:pt idx="143">
                  <c:v>50.958374914329887</c:v>
                </c:pt>
                <c:pt idx="144">
                  <c:v>50.640537641014895</c:v>
                </c:pt>
                <c:pt idx="145">
                  <c:v>48.987904873254863</c:v>
                </c:pt>
                <c:pt idx="146">
                  <c:v>48.950580562078329</c:v>
                </c:pt>
                <c:pt idx="147">
                  <c:v>49.861793974039692</c:v>
                </c:pt>
                <c:pt idx="148">
                  <c:v>50.19035652600207</c:v>
                </c:pt>
                <c:pt idx="149">
                  <c:v>49.768572596662715</c:v>
                </c:pt>
                <c:pt idx="150">
                  <c:v>49.730009052644242</c:v>
                </c:pt>
                <c:pt idx="151">
                  <c:v>48.807397898826018</c:v>
                </c:pt>
                <c:pt idx="152">
                  <c:v>48.456530971779387</c:v>
                </c:pt>
                <c:pt idx="153">
                  <c:v>48.160197714107071</c:v>
                </c:pt>
                <c:pt idx="154">
                  <c:v>47.383486904702266</c:v>
                </c:pt>
                <c:pt idx="155">
                  <c:v>47.203083019120129</c:v>
                </c:pt>
                <c:pt idx="156">
                  <c:v>46.617844609950687</c:v>
                </c:pt>
                <c:pt idx="157">
                  <c:v>45.574013135615502</c:v>
                </c:pt>
                <c:pt idx="158">
                  <c:v>46.820686690088657</c:v>
                </c:pt>
                <c:pt idx="159">
                  <c:v>46.90870260918895</c:v>
                </c:pt>
                <c:pt idx="160">
                  <c:v>47.108949228826205</c:v>
                </c:pt>
                <c:pt idx="161">
                  <c:v>46.363401386711907</c:v>
                </c:pt>
                <c:pt idx="162">
                  <c:v>45.907746353971945</c:v>
                </c:pt>
                <c:pt idx="163">
                  <c:v>45.73333405437986</c:v>
                </c:pt>
                <c:pt idx="164">
                  <c:v>46.022110217366354</c:v>
                </c:pt>
                <c:pt idx="165">
                  <c:v>46.046365340726112</c:v>
                </c:pt>
                <c:pt idx="166">
                  <c:v>46.615196562243966</c:v>
                </c:pt>
                <c:pt idx="167">
                  <c:v>46.132086909124048</c:v>
                </c:pt>
                <c:pt idx="168">
                  <c:v>46.19671143809169</c:v>
                </c:pt>
                <c:pt idx="169">
                  <c:v>45.463181118759628</c:v>
                </c:pt>
                <c:pt idx="170">
                  <c:v>45.211738091726119</c:v>
                </c:pt>
                <c:pt idx="171">
                  <c:v>45.162879351084491</c:v>
                </c:pt>
                <c:pt idx="172">
                  <c:v>44.422621945246263</c:v>
                </c:pt>
                <c:pt idx="173">
                  <c:v>43.363593110740922</c:v>
                </c:pt>
                <c:pt idx="174">
                  <c:v>42.795716126115146</c:v>
                </c:pt>
                <c:pt idx="175">
                  <c:v>42.286643337396661</c:v>
                </c:pt>
                <c:pt idx="176">
                  <c:v>42.235990003640396</c:v>
                </c:pt>
                <c:pt idx="177">
                  <c:v>41.932223574554243</c:v>
                </c:pt>
                <c:pt idx="178">
                  <c:v>41.471901667018265</c:v>
                </c:pt>
                <c:pt idx="179">
                  <c:v>41.364623178360397</c:v>
                </c:pt>
                <c:pt idx="180">
                  <c:v>41.299269221566121</c:v>
                </c:pt>
                <c:pt idx="181">
                  <c:v>40.824717675851623</c:v>
                </c:pt>
                <c:pt idx="182">
                  <c:v>40.568843764019796</c:v>
                </c:pt>
                <c:pt idx="183">
                  <c:v>41.149083422285265</c:v>
                </c:pt>
                <c:pt idx="184">
                  <c:v>40.408720037149884</c:v>
                </c:pt>
                <c:pt idx="185">
                  <c:v>40.978511491635118</c:v>
                </c:pt>
                <c:pt idx="186">
                  <c:v>41.429270659836106</c:v>
                </c:pt>
                <c:pt idx="187">
                  <c:v>41.117902492818963</c:v>
                </c:pt>
                <c:pt idx="188">
                  <c:v>40.32606537966749</c:v>
                </c:pt>
                <c:pt idx="189">
                  <c:v>40.784164816721486</c:v>
                </c:pt>
                <c:pt idx="190">
                  <c:v>41.598858659584401</c:v>
                </c:pt>
                <c:pt idx="191">
                  <c:v>42.506696284183143</c:v>
                </c:pt>
                <c:pt idx="192">
                  <c:v>42.274403299744655</c:v>
                </c:pt>
                <c:pt idx="193">
                  <c:v>42.033727739187682</c:v>
                </c:pt>
                <c:pt idx="194">
                  <c:v>41.939620570960088</c:v>
                </c:pt>
                <c:pt idx="195">
                  <c:v>41.695293773344865</c:v>
                </c:pt>
                <c:pt idx="196">
                  <c:v>41.705369965229949</c:v>
                </c:pt>
                <c:pt idx="197">
                  <c:v>40.69731087905884</c:v>
                </c:pt>
                <c:pt idx="198">
                  <c:v>41.455580999459542</c:v>
                </c:pt>
                <c:pt idx="199">
                  <c:v>41.250147381220806</c:v>
                </c:pt>
                <c:pt idx="200">
                  <c:v>41.142022924651194</c:v>
                </c:pt>
                <c:pt idx="201">
                  <c:v>40.987680125691313</c:v>
                </c:pt>
                <c:pt idx="202">
                  <c:v>41.069804739274453</c:v>
                </c:pt>
                <c:pt idx="203">
                  <c:v>40.382409815944214</c:v>
                </c:pt>
                <c:pt idx="204">
                  <c:v>40.505714456582325</c:v>
                </c:pt>
                <c:pt idx="205">
                  <c:v>40.022408636536262</c:v>
                </c:pt>
                <c:pt idx="206">
                  <c:v>39.892273411568539</c:v>
                </c:pt>
                <c:pt idx="207">
                  <c:v>39.462132428251884</c:v>
                </c:pt>
                <c:pt idx="208">
                  <c:v>39.839144332777792</c:v>
                </c:pt>
                <c:pt idx="209">
                  <c:v>38.64332336786655</c:v>
                </c:pt>
                <c:pt idx="210">
                  <c:v>39.497847074070862</c:v>
                </c:pt>
                <c:pt idx="211">
                  <c:v>39.336971767270867</c:v>
                </c:pt>
                <c:pt idx="212">
                  <c:v>39.203598512447073</c:v>
                </c:pt>
                <c:pt idx="213">
                  <c:v>39.70063627532187</c:v>
                </c:pt>
                <c:pt idx="214">
                  <c:v>40.004773096533214</c:v>
                </c:pt>
                <c:pt idx="215">
                  <c:v>40.704634987054817</c:v>
                </c:pt>
                <c:pt idx="216">
                  <c:v>40.028441566390278</c:v>
                </c:pt>
                <c:pt idx="217">
                  <c:v>39.943733416294904</c:v>
                </c:pt>
                <c:pt idx="218">
                  <c:v>40.108845728622036</c:v>
                </c:pt>
                <c:pt idx="219">
                  <c:v>39.679896275628472</c:v>
                </c:pt>
                <c:pt idx="220">
                  <c:v>39.294067641787656</c:v>
                </c:pt>
                <c:pt idx="221">
                  <c:v>39.889874814794894</c:v>
                </c:pt>
                <c:pt idx="222">
                  <c:v>39.948172465260157</c:v>
                </c:pt>
                <c:pt idx="223">
                  <c:v>39.463001682658636</c:v>
                </c:pt>
                <c:pt idx="224">
                  <c:v>39.229147748462545</c:v>
                </c:pt>
                <c:pt idx="225">
                  <c:v>38.650554318819779</c:v>
                </c:pt>
                <c:pt idx="226">
                  <c:v>39.094153207550505</c:v>
                </c:pt>
                <c:pt idx="227">
                  <c:v>39.61492326857887</c:v>
                </c:pt>
                <c:pt idx="228">
                  <c:v>39.796746273205791</c:v>
                </c:pt>
                <c:pt idx="229">
                  <c:v>39.66836175343159</c:v>
                </c:pt>
                <c:pt idx="230">
                  <c:v>39.980577336615958</c:v>
                </c:pt>
                <c:pt idx="231">
                  <c:v>40.529098770084055</c:v>
                </c:pt>
                <c:pt idx="232">
                  <c:v>40.713437150688307</c:v>
                </c:pt>
                <c:pt idx="233">
                  <c:v>41.146072069352066</c:v>
                </c:pt>
                <c:pt idx="234">
                  <c:v>40.18664008703599</c:v>
                </c:pt>
                <c:pt idx="235">
                  <c:v>40.768537765261755</c:v>
                </c:pt>
                <c:pt idx="236">
                  <c:v>40.73321131275285</c:v>
                </c:pt>
                <c:pt idx="237">
                  <c:v>41.053796545455334</c:v>
                </c:pt>
                <c:pt idx="238">
                  <c:v>40.9454016697903</c:v>
                </c:pt>
                <c:pt idx="239">
                  <c:v>40.41937981368352</c:v>
                </c:pt>
                <c:pt idx="240">
                  <c:v>40.417424817069772</c:v>
                </c:pt>
                <c:pt idx="241">
                  <c:v>40.338490679238994</c:v>
                </c:pt>
                <c:pt idx="242">
                  <c:v>39.375245183341441</c:v>
                </c:pt>
                <c:pt idx="243">
                  <c:v>38.519899732716638</c:v>
                </c:pt>
                <c:pt idx="244">
                  <c:v>38.897522155698823</c:v>
                </c:pt>
                <c:pt idx="245">
                  <c:v>38.877033113321026</c:v>
                </c:pt>
                <c:pt idx="246">
                  <c:v>39.850484471554161</c:v>
                </c:pt>
                <c:pt idx="247">
                  <c:v>39.80029753329886</c:v>
                </c:pt>
                <c:pt idx="248">
                  <c:v>39.908979695926114</c:v>
                </c:pt>
                <c:pt idx="249">
                  <c:v>39.587876608689236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4967712"/>
        <c:axId val="1634968800"/>
      </c:lineChart>
      <c:catAx>
        <c:axId val="1634967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968800"/>
        <c:crosses val="autoZero"/>
        <c:auto val="1"/>
        <c:lblAlgn val="ctr"/>
        <c:lblOffset val="100"/>
        <c:noMultiLvlLbl val="0"/>
      </c:catAx>
      <c:valAx>
        <c:axId val="163496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96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175260</xdr:colOff>
      <xdr:row>13</xdr:row>
      <xdr:rowOff>22860</xdr:rowOff>
    </xdr:from>
    <xdr:ext cx="65" cy="172227"/>
    <xdr:sp macro="" textlink="">
      <xdr:nvSpPr>
        <xdr:cNvPr id="2" name="文本框 1"/>
        <xdr:cNvSpPr txBox="1"/>
      </xdr:nvSpPr>
      <xdr:spPr>
        <a:xfrm>
          <a:off x="6758940" y="2400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6</xdr:col>
      <xdr:colOff>91440</xdr:colOff>
      <xdr:row>3</xdr:row>
      <xdr:rowOff>45720</xdr:rowOff>
    </xdr:from>
    <xdr:to>
      <xdr:col>13</xdr:col>
      <xdr:colOff>396240</xdr:colOff>
      <xdr:row>18</xdr:row>
      <xdr:rowOff>45720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</xdr:row>
          <xdr:rowOff>0</xdr:rowOff>
        </xdr:from>
        <xdr:to>
          <xdr:col>17</xdr:col>
          <xdr:colOff>601980</xdr:colOff>
          <xdr:row>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</xdr:colOff>
      <xdr:row>1</xdr:row>
      <xdr:rowOff>0</xdr:rowOff>
    </xdr:from>
    <xdr:to>
      <xdr:col>16</xdr:col>
      <xdr:colOff>502920</xdr:colOff>
      <xdr:row>16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16</xdr:row>
      <xdr:rowOff>175260</xdr:rowOff>
    </xdr:from>
    <xdr:to>
      <xdr:col>16</xdr:col>
      <xdr:colOff>495300</xdr:colOff>
      <xdr:row>31</xdr:row>
      <xdr:rowOff>175260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33</xdr:row>
      <xdr:rowOff>0</xdr:rowOff>
    </xdr:from>
    <xdr:to>
      <xdr:col>16</xdr:col>
      <xdr:colOff>495300</xdr:colOff>
      <xdr:row>48</xdr:row>
      <xdr:rowOff>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49</xdr:row>
      <xdr:rowOff>0</xdr:rowOff>
    </xdr:from>
    <xdr:to>
      <xdr:col>16</xdr:col>
      <xdr:colOff>495300</xdr:colOff>
      <xdr:row>64</xdr:row>
      <xdr:rowOff>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16</xdr:col>
      <xdr:colOff>495300</xdr:colOff>
      <xdr:row>80</xdr:row>
      <xdr:rowOff>0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81</xdr:row>
      <xdr:rowOff>0</xdr:rowOff>
    </xdr:from>
    <xdr:to>
      <xdr:col>16</xdr:col>
      <xdr:colOff>495300</xdr:colOff>
      <xdr:row>96</xdr:row>
      <xdr:rowOff>0</xdr:rowOff>
    </xdr:to>
    <xdr:graphicFrame macro="">
      <xdr:nvGraphicFramePr>
        <xdr:cNvPr id="11" name="图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13</xdr:col>
      <xdr:colOff>304800</xdr:colOff>
      <xdr:row>17</xdr:row>
      <xdr:rowOff>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601980</xdr:colOff>
          <xdr:row>2</xdr:row>
          <xdr:rowOff>0</xdr:rowOff>
        </xdr:from>
        <xdr:to>
          <xdr:col>20</xdr:col>
          <xdr:colOff>15240</xdr:colOff>
          <xdr:row>4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601980</xdr:colOff>
          <xdr:row>2</xdr:row>
          <xdr:rowOff>0</xdr:rowOff>
        </xdr:from>
        <xdr:to>
          <xdr:col>20</xdr:col>
          <xdr:colOff>15240</xdr:colOff>
          <xdr:row>4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15240</xdr:colOff>
      <xdr:row>2</xdr:row>
      <xdr:rowOff>15240</xdr:rowOff>
    </xdr:from>
    <xdr:to>
      <xdr:col>13</xdr:col>
      <xdr:colOff>320040</xdr:colOff>
      <xdr:row>17</xdr:row>
      <xdr:rowOff>15240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51"/>
  <sheetViews>
    <sheetView workbookViewId="0">
      <selection activeCell="M24" sqref="M24"/>
    </sheetView>
  </sheetViews>
  <sheetFormatPr defaultRowHeight="14.4" x14ac:dyDescent="0.3"/>
  <cols>
    <col min="1" max="1" width="24.88671875" bestFit="1" customWidth="1"/>
    <col min="3" max="3" width="12.6640625" bestFit="1" customWidth="1"/>
  </cols>
  <sheetData>
    <row r="1" spans="1:4" x14ac:dyDescent="0.3">
      <c r="A1" t="s">
        <v>0</v>
      </c>
      <c r="D1" t="s">
        <v>9</v>
      </c>
    </row>
    <row r="2" spans="1:4" x14ac:dyDescent="0.3">
      <c r="D2">
        <v>10.020786886383073</v>
      </c>
    </row>
    <row r="3" spans="1:4" x14ac:dyDescent="0.3">
      <c r="A3" t="s">
        <v>1</v>
      </c>
      <c r="B3">
        <v>10</v>
      </c>
      <c r="D3">
        <v>9.9481707806709636</v>
      </c>
    </row>
    <row r="4" spans="1:4" x14ac:dyDescent="0.3">
      <c r="A4" t="s">
        <v>2</v>
      </c>
      <c r="B4" s="1">
        <v>0.05</v>
      </c>
      <c r="D4">
        <v>10.066064963621461</v>
      </c>
    </row>
    <row r="5" spans="1:4" x14ac:dyDescent="0.3">
      <c r="A5" t="s">
        <v>3</v>
      </c>
      <c r="B5" s="1">
        <v>0.2</v>
      </c>
      <c r="D5">
        <v>10.252169647846024</v>
      </c>
    </row>
    <row r="6" spans="1:4" x14ac:dyDescent="0.3">
      <c r="A6" t="s">
        <v>4</v>
      </c>
      <c r="B6">
        <v>1</v>
      </c>
      <c r="D6">
        <v>10.206905420216524</v>
      </c>
    </row>
    <row r="7" spans="1:4" x14ac:dyDescent="0.3">
      <c r="A7" t="s">
        <v>5</v>
      </c>
      <c r="B7">
        <v>250</v>
      </c>
      <c r="D7">
        <v>10.150672104214268</v>
      </c>
    </row>
    <row r="8" spans="1:4" x14ac:dyDescent="0.3">
      <c r="A8" t="s">
        <v>14</v>
      </c>
      <c r="B8">
        <v>3</v>
      </c>
      <c r="D8">
        <v>9.9207785678052112</v>
      </c>
    </row>
    <row r="9" spans="1:4" x14ac:dyDescent="0.3">
      <c r="A9" t="s">
        <v>6</v>
      </c>
      <c r="B9">
        <v>0</v>
      </c>
      <c r="D9">
        <v>10.04937032292978</v>
      </c>
    </row>
    <row r="10" spans="1:4" x14ac:dyDescent="0.3">
      <c r="A10" t="s">
        <v>7</v>
      </c>
      <c r="B10">
        <v>0.2</v>
      </c>
      <c r="D10">
        <v>10.106811906951712</v>
      </c>
    </row>
    <row r="11" spans="1:4" x14ac:dyDescent="0.3">
      <c r="D11">
        <v>10.114427970001</v>
      </c>
    </row>
    <row r="12" spans="1:4" x14ac:dyDescent="0.3">
      <c r="A12" t="s">
        <v>8</v>
      </c>
      <c r="B12">
        <v>5000</v>
      </c>
      <c r="D12">
        <v>10.057460704702171</v>
      </c>
    </row>
    <row r="13" spans="1:4" x14ac:dyDescent="0.3">
      <c r="D13">
        <v>10.0549160011282</v>
      </c>
    </row>
    <row r="14" spans="1:4" x14ac:dyDescent="0.3">
      <c r="D14">
        <v>10.163239149637796</v>
      </c>
    </row>
    <row r="15" spans="1:4" x14ac:dyDescent="0.3">
      <c r="D15">
        <v>10.198019085248493</v>
      </c>
    </row>
    <row r="16" spans="1:4" x14ac:dyDescent="0.3">
      <c r="D16">
        <v>10.170096268507953</v>
      </c>
    </row>
    <row r="17" spans="1:4" x14ac:dyDescent="0.3">
      <c r="D17">
        <v>10.115743229865762</v>
      </c>
    </row>
    <row r="18" spans="1:4" x14ac:dyDescent="0.3">
      <c r="D18">
        <v>9.7757792673465875</v>
      </c>
    </row>
    <row r="19" spans="1:4" x14ac:dyDescent="0.3">
      <c r="A19" t="s">
        <v>10</v>
      </c>
      <c r="B19">
        <v>3.7605186515903472E-2</v>
      </c>
      <c r="C19">
        <f>B19-0.03</f>
        <v>7.6051865159034726E-3</v>
      </c>
      <c r="D19">
        <v>9.9373917517184065</v>
      </c>
    </row>
    <row r="20" spans="1:4" x14ac:dyDescent="0.3">
      <c r="A20" t="s">
        <v>13</v>
      </c>
      <c r="B20">
        <v>0.40290024368625599</v>
      </c>
      <c r="C20">
        <f>B20-0.2</f>
        <v>0.20290024368625598</v>
      </c>
      <c r="D20">
        <v>9.8401404865520767</v>
      </c>
    </row>
    <row r="21" spans="1:4" x14ac:dyDescent="0.3">
      <c r="A21" t="s">
        <v>11</v>
      </c>
      <c r="B21">
        <v>1.8476427832608919E-2</v>
      </c>
      <c r="C21">
        <f>B21-0</f>
        <v>1.8476427832608919E-2</v>
      </c>
      <c r="D21">
        <v>9.8987955139464194</v>
      </c>
    </row>
    <row r="22" spans="1:4" x14ac:dyDescent="0.3">
      <c r="A22" t="s">
        <v>12</v>
      </c>
      <c r="B22">
        <v>3.4203506850511873</v>
      </c>
      <c r="C22">
        <f>B22-3</f>
        <v>0.42035068505118733</v>
      </c>
      <c r="D22">
        <v>10.229957689970201</v>
      </c>
    </row>
    <row r="23" spans="1:4" x14ac:dyDescent="0.3">
      <c r="D23">
        <v>10.34892314724947</v>
      </c>
    </row>
    <row r="24" spans="1:4" x14ac:dyDescent="0.3">
      <c r="D24">
        <v>10.305115410862525</v>
      </c>
    </row>
    <row r="25" spans="1:4" x14ac:dyDescent="0.3">
      <c r="D25">
        <v>10.173414300598299</v>
      </c>
    </row>
    <row r="26" spans="1:4" x14ac:dyDescent="0.3">
      <c r="D26">
        <v>10.154929892423576</v>
      </c>
    </row>
    <row r="27" spans="1:4" x14ac:dyDescent="0.3">
      <c r="D27">
        <v>10.100660340981317</v>
      </c>
    </row>
    <row r="28" spans="1:4" x14ac:dyDescent="0.3">
      <c r="D28">
        <v>10.164517162435093</v>
      </c>
    </row>
    <row r="29" spans="1:4" x14ac:dyDescent="0.3">
      <c r="D29">
        <v>10.064741155109106</v>
      </c>
    </row>
    <row r="30" spans="1:4" x14ac:dyDescent="0.3">
      <c r="D30">
        <v>10.050803248729498</v>
      </c>
    </row>
    <row r="31" spans="1:4" x14ac:dyDescent="0.3">
      <c r="D31">
        <v>10.0539017194415</v>
      </c>
    </row>
    <row r="32" spans="1:4" x14ac:dyDescent="0.3">
      <c r="D32">
        <v>10.127443662740133</v>
      </c>
    </row>
    <row r="33" spans="4:4" x14ac:dyDescent="0.3">
      <c r="D33">
        <v>10.178421045194828</v>
      </c>
    </row>
    <row r="34" spans="4:4" x14ac:dyDescent="0.3">
      <c r="D34">
        <v>10.02061231067621</v>
      </c>
    </row>
    <row r="35" spans="4:4" x14ac:dyDescent="0.3">
      <c r="D35">
        <v>10.272871756194229</v>
      </c>
    </row>
    <row r="36" spans="4:4" x14ac:dyDescent="0.3">
      <c r="D36">
        <v>10.156377627868492</v>
      </c>
    </row>
    <row r="37" spans="4:4" x14ac:dyDescent="0.3">
      <c r="D37">
        <v>9.9730942416938539</v>
      </c>
    </row>
    <row r="38" spans="4:4" x14ac:dyDescent="0.3">
      <c r="D38">
        <v>10.157542873308168</v>
      </c>
    </row>
    <row r="39" spans="4:4" x14ac:dyDescent="0.3">
      <c r="D39">
        <v>10.144020801589571</v>
      </c>
    </row>
    <row r="40" spans="4:4" x14ac:dyDescent="0.3">
      <c r="D40">
        <v>10.153357953481423</v>
      </c>
    </row>
    <row r="41" spans="4:4" x14ac:dyDescent="0.3">
      <c r="D41">
        <v>10.130445887669575</v>
      </c>
    </row>
    <row r="42" spans="4:4" x14ac:dyDescent="0.3">
      <c r="D42">
        <v>10.09418173895147</v>
      </c>
    </row>
    <row r="43" spans="4:4" x14ac:dyDescent="0.3">
      <c r="D43">
        <v>10.004779768316775</v>
      </c>
    </row>
    <row r="44" spans="4:4" x14ac:dyDescent="0.3">
      <c r="D44">
        <v>9.9700140422674224</v>
      </c>
    </row>
    <row r="45" spans="4:4" x14ac:dyDescent="0.3">
      <c r="D45">
        <v>9.9636508561878045</v>
      </c>
    </row>
    <row r="46" spans="4:4" x14ac:dyDescent="0.3">
      <c r="D46">
        <v>9.9381978618028004</v>
      </c>
    </row>
    <row r="47" spans="4:4" x14ac:dyDescent="0.3">
      <c r="D47">
        <v>10.004597174678629</v>
      </c>
    </row>
    <row r="48" spans="4:4" x14ac:dyDescent="0.3">
      <c r="D48">
        <v>9.8540820678524703</v>
      </c>
    </row>
    <row r="49" spans="4:4" x14ac:dyDescent="0.3">
      <c r="D49">
        <v>9.7984667547164754</v>
      </c>
    </row>
    <row r="50" spans="4:4" x14ac:dyDescent="0.3">
      <c r="D50">
        <v>9.9615958098613113</v>
      </c>
    </row>
    <row r="51" spans="4:4" x14ac:dyDescent="0.3">
      <c r="D51">
        <v>8.7883664822519894</v>
      </c>
    </row>
    <row r="52" spans="4:4" x14ac:dyDescent="0.3">
      <c r="D52">
        <v>8.7802735884916299</v>
      </c>
    </row>
    <row r="53" spans="4:4" x14ac:dyDescent="0.3">
      <c r="D53">
        <v>8.7968285984178891</v>
      </c>
    </row>
    <row r="54" spans="4:4" x14ac:dyDescent="0.3">
      <c r="D54">
        <v>8.6945493129233107</v>
      </c>
    </row>
    <row r="55" spans="4:4" x14ac:dyDescent="0.3">
      <c r="D55">
        <v>8.7475970827964282</v>
      </c>
    </row>
    <row r="56" spans="4:4" x14ac:dyDescent="0.3">
      <c r="D56">
        <v>8.606443900872236</v>
      </c>
    </row>
    <row r="57" spans="4:4" x14ac:dyDescent="0.3">
      <c r="D57">
        <v>8.4621283264902996</v>
      </c>
    </row>
    <row r="58" spans="4:4" x14ac:dyDescent="0.3">
      <c r="D58">
        <v>8.5261209967792393</v>
      </c>
    </row>
    <row r="59" spans="4:4" x14ac:dyDescent="0.3">
      <c r="D59">
        <v>8.4656050342134961</v>
      </c>
    </row>
    <row r="60" spans="4:4" x14ac:dyDescent="0.3">
      <c r="D60">
        <v>8.5270571447334476</v>
      </c>
    </row>
    <row r="61" spans="4:4" x14ac:dyDescent="0.3">
      <c r="D61">
        <v>8.499425865516649</v>
      </c>
    </row>
    <row r="62" spans="4:4" x14ac:dyDescent="0.3">
      <c r="D62">
        <v>8.4661121443674894</v>
      </c>
    </row>
    <row r="63" spans="4:4" x14ac:dyDescent="0.3">
      <c r="D63">
        <v>8.3981015523853326</v>
      </c>
    </row>
    <row r="64" spans="4:4" x14ac:dyDescent="0.3">
      <c r="D64">
        <v>8.3563951437293067</v>
      </c>
    </row>
    <row r="65" spans="4:4" x14ac:dyDescent="0.3">
      <c r="D65">
        <v>8.4261818734004912</v>
      </c>
    </row>
    <row r="66" spans="4:4" x14ac:dyDescent="0.3">
      <c r="D66">
        <v>8.4400413070411027</v>
      </c>
    </row>
    <row r="67" spans="4:4" x14ac:dyDescent="0.3">
      <c r="D67">
        <v>8.3914579984606572</v>
      </c>
    </row>
    <row r="68" spans="4:4" x14ac:dyDescent="0.3">
      <c r="D68">
        <v>8.3681156599791251</v>
      </c>
    </row>
    <row r="69" spans="4:4" x14ac:dyDescent="0.3">
      <c r="D69">
        <v>8.5136282285863629</v>
      </c>
    </row>
    <row r="70" spans="4:4" x14ac:dyDescent="0.3">
      <c r="D70">
        <v>8.456696460072763</v>
      </c>
    </row>
    <row r="71" spans="4:4" x14ac:dyDescent="0.3">
      <c r="D71">
        <v>8.63354266506607</v>
      </c>
    </row>
    <row r="72" spans="4:4" x14ac:dyDescent="0.3">
      <c r="D72">
        <v>8.5510985370048704</v>
      </c>
    </row>
    <row r="73" spans="4:4" x14ac:dyDescent="0.3">
      <c r="D73">
        <v>8.6109284339151984</v>
      </c>
    </row>
    <row r="74" spans="4:4" x14ac:dyDescent="0.3">
      <c r="D74">
        <v>8.7074875768868836</v>
      </c>
    </row>
    <row r="75" spans="4:4" x14ac:dyDescent="0.3">
      <c r="D75">
        <v>8.8421964467544054</v>
      </c>
    </row>
    <row r="76" spans="4:4" x14ac:dyDescent="0.3">
      <c r="D76">
        <v>8.8380164758570334</v>
      </c>
    </row>
    <row r="77" spans="4:4" x14ac:dyDescent="0.3">
      <c r="D77">
        <v>8.821740161814601</v>
      </c>
    </row>
    <row r="78" spans="4:4" x14ac:dyDescent="0.3">
      <c r="D78">
        <v>8.983960741869641</v>
      </c>
    </row>
    <row r="79" spans="4:4" x14ac:dyDescent="0.3">
      <c r="D79">
        <v>9.0270442644040703</v>
      </c>
    </row>
    <row r="80" spans="4:4" x14ac:dyDescent="0.3">
      <c r="D80">
        <v>9.1174014521487567</v>
      </c>
    </row>
    <row r="81" spans="4:4" x14ac:dyDescent="0.3">
      <c r="D81">
        <v>9.1009799848272035</v>
      </c>
    </row>
    <row r="82" spans="4:4" x14ac:dyDescent="0.3">
      <c r="D82">
        <v>9.1360516767536897</v>
      </c>
    </row>
    <row r="83" spans="4:4" x14ac:dyDescent="0.3">
      <c r="D83">
        <v>9.4811308280459556</v>
      </c>
    </row>
    <row r="84" spans="4:4" x14ac:dyDescent="0.3">
      <c r="D84">
        <v>9.3332781412129187</v>
      </c>
    </row>
    <row r="85" spans="4:4" x14ac:dyDescent="0.3">
      <c r="D85">
        <v>9.3510368742299725</v>
      </c>
    </row>
    <row r="86" spans="4:4" x14ac:dyDescent="0.3">
      <c r="D86">
        <v>9.3522454406344497</v>
      </c>
    </row>
    <row r="87" spans="4:4" x14ac:dyDescent="0.3">
      <c r="D87">
        <v>9.350554549898801</v>
      </c>
    </row>
    <row r="88" spans="4:4" x14ac:dyDescent="0.3">
      <c r="D88">
        <v>9.2983533172199397</v>
      </c>
    </row>
    <row r="89" spans="4:4" x14ac:dyDescent="0.3">
      <c r="D89">
        <v>9.3446882821845509</v>
      </c>
    </row>
    <row r="90" spans="4:4" x14ac:dyDescent="0.3">
      <c r="D90">
        <v>9.2950781415616159</v>
      </c>
    </row>
    <row r="91" spans="4:4" x14ac:dyDescent="0.3">
      <c r="D91">
        <v>9.4693588694284774</v>
      </c>
    </row>
    <row r="92" spans="4:4" x14ac:dyDescent="0.3">
      <c r="D92">
        <v>9.5359101066324428</v>
      </c>
    </row>
    <row r="93" spans="4:4" x14ac:dyDescent="0.3">
      <c r="D93">
        <v>9.3816783758591367</v>
      </c>
    </row>
    <row r="94" spans="4:4" x14ac:dyDescent="0.3">
      <c r="D94">
        <v>9.3864934183798248</v>
      </c>
    </row>
    <row r="95" spans="4:4" x14ac:dyDescent="0.3">
      <c r="D95">
        <v>9.5298020449687382</v>
      </c>
    </row>
    <row r="96" spans="4:4" x14ac:dyDescent="0.3">
      <c r="D96">
        <v>9.5016223206618324</v>
      </c>
    </row>
    <row r="97" spans="4:4" x14ac:dyDescent="0.3">
      <c r="D97">
        <v>9.4372486048914936</v>
      </c>
    </row>
    <row r="98" spans="4:4" x14ac:dyDescent="0.3">
      <c r="D98">
        <v>9.4608716611424164</v>
      </c>
    </row>
    <row r="99" spans="4:4" x14ac:dyDescent="0.3">
      <c r="D99">
        <v>9.3591154805183443</v>
      </c>
    </row>
    <row r="100" spans="4:4" x14ac:dyDescent="0.3">
      <c r="D100">
        <v>9.5723946844455376</v>
      </c>
    </row>
    <row r="101" spans="4:4" x14ac:dyDescent="0.3">
      <c r="D101">
        <v>9.4454903324665</v>
      </c>
    </row>
    <row r="102" spans="4:4" x14ac:dyDescent="0.3">
      <c r="D102">
        <v>9.5089373339568031</v>
      </c>
    </row>
    <row r="103" spans="4:4" x14ac:dyDescent="0.3">
      <c r="D103">
        <v>9.4994602467346692</v>
      </c>
    </row>
    <row r="104" spans="4:4" x14ac:dyDescent="0.3">
      <c r="D104">
        <v>9.6098374269754157</v>
      </c>
    </row>
    <row r="105" spans="4:4" x14ac:dyDescent="0.3">
      <c r="D105">
        <v>9.6341056940571743</v>
      </c>
    </row>
    <row r="106" spans="4:4" x14ac:dyDescent="0.3">
      <c r="D106">
        <v>9.5343225634992823</v>
      </c>
    </row>
    <row r="107" spans="4:4" x14ac:dyDescent="0.3">
      <c r="D107">
        <v>9.5554306191930465</v>
      </c>
    </row>
    <row r="108" spans="4:4" x14ac:dyDescent="0.3">
      <c r="D108">
        <v>9.6570810786759402</v>
      </c>
    </row>
    <row r="109" spans="4:4" x14ac:dyDescent="0.3">
      <c r="D109">
        <v>9.4266122561474077</v>
      </c>
    </row>
    <row r="110" spans="4:4" x14ac:dyDescent="0.3">
      <c r="D110">
        <v>9.2296044435276716</v>
      </c>
    </row>
    <row r="111" spans="4:4" x14ac:dyDescent="0.3">
      <c r="D111">
        <v>9.1009376331992105</v>
      </c>
    </row>
    <row r="112" spans="4:4" x14ac:dyDescent="0.3">
      <c r="D112">
        <v>9.1360370756223084</v>
      </c>
    </row>
    <row r="113" spans="4:4" x14ac:dyDescent="0.3">
      <c r="D113">
        <v>9.3359898575598237</v>
      </c>
    </row>
    <row r="114" spans="4:4" x14ac:dyDescent="0.3">
      <c r="D114">
        <v>9.2854677907427963</v>
      </c>
    </row>
    <row r="115" spans="4:4" x14ac:dyDescent="0.3">
      <c r="D115">
        <v>9.1087531630736951</v>
      </c>
    </row>
    <row r="116" spans="4:4" x14ac:dyDescent="0.3">
      <c r="D116">
        <v>9.0762052364401509</v>
      </c>
    </row>
    <row r="117" spans="4:4" x14ac:dyDescent="0.3">
      <c r="D117">
        <v>9.0272189015352939</v>
      </c>
    </row>
    <row r="118" spans="4:4" x14ac:dyDescent="0.3">
      <c r="D118">
        <v>9.12295241148637</v>
      </c>
    </row>
    <row r="119" spans="4:4" x14ac:dyDescent="0.3">
      <c r="D119">
        <v>8.9047982829571275</v>
      </c>
    </row>
    <row r="120" spans="4:4" x14ac:dyDescent="0.3">
      <c r="D120">
        <v>8.763608300054452</v>
      </c>
    </row>
    <row r="121" spans="4:4" x14ac:dyDescent="0.3">
      <c r="D121">
        <v>8.6458102992126982</v>
      </c>
    </row>
    <row r="122" spans="4:4" x14ac:dyDescent="0.3">
      <c r="D122">
        <v>12.086774532259117</v>
      </c>
    </row>
    <row r="123" spans="4:4" x14ac:dyDescent="0.3">
      <c r="D123">
        <v>12.104112581512011</v>
      </c>
    </row>
    <row r="124" spans="4:4" x14ac:dyDescent="0.3">
      <c r="D124">
        <v>11.942554006196058</v>
      </c>
    </row>
    <row r="125" spans="4:4" x14ac:dyDescent="0.3">
      <c r="D125">
        <v>12.243482608954757</v>
      </c>
    </row>
    <row r="126" spans="4:4" x14ac:dyDescent="0.3">
      <c r="D126">
        <v>12.389629331433635</v>
      </c>
    </row>
    <row r="127" spans="4:4" x14ac:dyDescent="0.3">
      <c r="D127">
        <v>12.213517714851335</v>
      </c>
    </row>
    <row r="128" spans="4:4" x14ac:dyDescent="0.3">
      <c r="D128">
        <v>12.157245033386998</v>
      </c>
    </row>
    <row r="129" spans="4:4" x14ac:dyDescent="0.3">
      <c r="D129">
        <v>12.10576748655939</v>
      </c>
    </row>
    <row r="130" spans="4:4" x14ac:dyDescent="0.3">
      <c r="D130">
        <v>12.173989507340767</v>
      </c>
    </row>
    <row r="131" spans="4:4" x14ac:dyDescent="0.3">
      <c r="D131">
        <v>12.268391671535381</v>
      </c>
    </row>
    <row r="132" spans="4:4" x14ac:dyDescent="0.3">
      <c r="D132">
        <v>12.361146788871265</v>
      </c>
    </row>
    <row r="133" spans="4:4" x14ac:dyDescent="0.3">
      <c r="D133">
        <v>12.335618230229342</v>
      </c>
    </row>
    <row r="134" spans="4:4" x14ac:dyDescent="0.3">
      <c r="D134">
        <v>12.161835548972428</v>
      </c>
    </row>
    <row r="135" spans="4:4" x14ac:dyDescent="0.3">
      <c r="D135">
        <v>12.223621522643935</v>
      </c>
    </row>
    <row r="136" spans="4:4" x14ac:dyDescent="0.3">
      <c r="D136">
        <v>12.143142293606672</v>
      </c>
    </row>
    <row r="137" spans="4:4" x14ac:dyDescent="0.3">
      <c r="D137">
        <v>12.1826412454114</v>
      </c>
    </row>
    <row r="138" spans="4:4" x14ac:dyDescent="0.3">
      <c r="D138">
        <v>12.082687594631041</v>
      </c>
    </row>
    <row r="139" spans="4:4" x14ac:dyDescent="0.3">
      <c r="D139">
        <v>11.950466909953601</v>
      </c>
    </row>
    <row r="140" spans="4:4" x14ac:dyDescent="0.3">
      <c r="D140">
        <v>11.884981826098317</v>
      </c>
    </row>
    <row r="141" spans="4:4" x14ac:dyDescent="0.3">
      <c r="D141">
        <v>11.91546998133075</v>
      </c>
    </row>
    <row r="142" spans="4:4" x14ac:dyDescent="0.3">
      <c r="D142">
        <v>11.831224462855593</v>
      </c>
    </row>
    <row r="143" spans="4:4" x14ac:dyDescent="0.3">
      <c r="D143">
        <v>11.808377501515812</v>
      </c>
    </row>
    <row r="144" spans="4:4" x14ac:dyDescent="0.3">
      <c r="D144">
        <v>11.748273744114931</v>
      </c>
    </row>
    <row r="145" spans="4:4" x14ac:dyDescent="0.3">
      <c r="D145">
        <v>11.910455166403986</v>
      </c>
    </row>
    <row r="146" spans="4:4" x14ac:dyDescent="0.3">
      <c r="D146">
        <v>11.89274039394604</v>
      </c>
    </row>
    <row r="147" spans="4:4" x14ac:dyDescent="0.3">
      <c r="D147">
        <v>11.915467671170997</v>
      </c>
    </row>
    <row r="148" spans="4:4" x14ac:dyDescent="0.3">
      <c r="D148">
        <v>11.74852315946425</v>
      </c>
    </row>
    <row r="149" spans="4:4" x14ac:dyDescent="0.3">
      <c r="D149">
        <v>11.676374254400761</v>
      </c>
    </row>
    <row r="150" spans="4:4" x14ac:dyDescent="0.3">
      <c r="D150">
        <v>11.693185299459296</v>
      </c>
    </row>
    <row r="151" spans="4:4" x14ac:dyDescent="0.3">
      <c r="D151">
        <v>11.762010483761477</v>
      </c>
    </row>
    <row r="152" spans="4:4" x14ac:dyDescent="0.3">
      <c r="D152">
        <v>11.895764156739981</v>
      </c>
    </row>
    <row r="153" spans="4:4" x14ac:dyDescent="0.3">
      <c r="D153">
        <v>12.128685803857651</v>
      </c>
    </row>
    <row r="154" spans="4:4" x14ac:dyDescent="0.3">
      <c r="D154">
        <v>12.176153137049152</v>
      </c>
    </row>
    <row r="155" spans="4:4" x14ac:dyDescent="0.3">
      <c r="D155">
        <v>12.100054842539542</v>
      </c>
    </row>
    <row r="156" spans="4:4" x14ac:dyDescent="0.3">
      <c r="D156">
        <v>11.759404517371559</v>
      </c>
    </row>
    <row r="157" spans="4:4" x14ac:dyDescent="0.3">
      <c r="D157">
        <v>11.717351199679461</v>
      </c>
    </row>
    <row r="158" spans="4:4" x14ac:dyDescent="0.3">
      <c r="D158">
        <v>11.718964861756263</v>
      </c>
    </row>
    <row r="159" spans="4:4" x14ac:dyDescent="0.3">
      <c r="D159">
        <v>11.87860253637365</v>
      </c>
    </row>
    <row r="160" spans="4:4" x14ac:dyDescent="0.3">
      <c r="D160">
        <v>11.831501628239689</v>
      </c>
    </row>
    <row r="161" spans="4:4" x14ac:dyDescent="0.3">
      <c r="D161">
        <v>11.811647455297644</v>
      </c>
    </row>
    <row r="162" spans="4:4" x14ac:dyDescent="0.3">
      <c r="D162">
        <v>11.725687894815568</v>
      </c>
    </row>
    <row r="163" spans="4:4" x14ac:dyDescent="0.3">
      <c r="D163">
        <v>11.55177385664704</v>
      </c>
    </row>
    <row r="164" spans="4:4" x14ac:dyDescent="0.3">
      <c r="D164">
        <v>11.321646610862601</v>
      </c>
    </row>
    <row r="165" spans="4:4" x14ac:dyDescent="0.3">
      <c r="D165">
        <v>11.337436494738933</v>
      </c>
    </row>
    <row r="166" spans="4:4" x14ac:dyDescent="0.3">
      <c r="D166">
        <v>11.463210442690379</v>
      </c>
    </row>
    <row r="167" spans="4:4" x14ac:dyDescent="0.3">
      <c r="D167">
        <v>11.575613172744852</v>
      </c>
    </row>
    <row r="168" spans="4:4" x14ac:dyDescent="0.3">
      <c r="D168">
        <v>11.469752604744043</v>
      </c>
    </row>
    <row r="169" spans="4:4" x14ac:dyDescent="0.3">
      <c r="D169">
        <v>11.370814652992943</v>
      </c>
    </row>
    <row r="170" spans="4:4" x14ac:dyDescent="0.3">
      <c r="D170">
        <v>11.252704411290345</v>
      </c>
    </row>
    <row r="171" spans="4:4" x14ac:dyDescent="0.3">
      <c r="D171">
        <v>11.448702544733434</v>
      </c>
    </row>
    <row r="172" spans="4:4" x14ac:dyDescent="0.3">
      <c r="D172">
        <v>11.483659870348578</v>
      </c>
    </row>
    <row r="173" spans="4:4" x14ac:dyDescent="0.3">
      <c r="D173">
        <v>11.58988505389665</v>
      </c>
    </row>
    <row r="174" spans="4:4" x14ac:dyDescent="0.3">
      <c r="D174">
        <v>11.535678304101078</v>
      </c>
    </row>
    <row r="175" spans="4:4" x14ac:dyDescent="0.3">
      <c r="D175">
        <v>11.533582574574828</v>
      </c>
    </row>
    <row r="176" spans="4:4" x14ac:dyDescent="0.3">
      <c r="D176">
        <v>11.682327242723019</v>
      </c>
    </row>
    <row r="177" spans="4:4" x14ac:dyDescent="0.3">
      <c r="D177">
        <v>11.665289134003581</v>
      </c>
    </row>
    <row r="178" spans="4:4" x14ac:dyDescent="0.3">
      <c r="D178">
        <v>11.631989307993781</v>
      </c>
    </row>
    <row r="179" spans="4:4" x14ac:dyDescent="0.3">
      <c r="D179">
        <v>11.799708116237676</v>
      </c>
    </row>
    <row r="180" spans="4:4" x14ac:dyDescent="0.3">
      <c r="D180">
        <v>11.678299110853022</v>
      </c>
    </row>
    <row r="181" spans="4:4" x14ac:dyDescent="0.3">
      <c r="D181">
        <v>11.599986356202598</v>
      </c>
    </row>
    <row r="182" spans="4:4" x14ac:dyDescent="0.3">
      <c r="D182">
        <v>11.517597785866519</v>
      </c>
    </row>
    <row r="183" spans="4:4" x14ac:dyDescent="0.3">
      <c r="D183">
        <v>11.441513502222175</v>
      </c>
    </row>
    <row r="184" spans="4:4" x14ac:dyDescent="0.3">
      <c r="D184">
        <v>11.642289839679073</v>
      </c>
    </row>
    <row r="185" spans="4:4" x14ac:dyDescent="0.3">
      <c r="D185">
        <v>11.6164281060008</v>
      </c>
    </row>
    <row r="186" spans="4:4" x14ac:dyDescent="0.3">
      <c r="D186">
        <v>11.474546805524536</v>
      </c>
    </row>
    <row r="187" spans="4:4" x14ac:dyDescent="0.3">
      <c r="D187">
        <v>11.443994989532078</v>
      </c>
    </row>
    <row r="188" spans="4:4" x14ac:dyDescent="0.3">
      <c r="D188">
        <v>11.531969094013231</v>
      </c>
    </row>
    <row r="189" spans="4:4" x14ac:dyDescent="0.3">
      <c r="D189">
        <v>11.577792576912119</v>
      </c>
    </row>
    <row r="190" spans="4:4" x14ac:dyDescent="0.3">
      <c r="D190">
        <v>11.958288873100638</v>
      </c>
    </row>
    <row r="191" spans="4:4" x14ac:dyDescent="0.3">
      <c r="D191">
        <v>12.060686544952159</v>
      </c>
    </row>
    <row r="192" spans="4:4" x14ac:dyDescent="0.3">
      <c r="D192">
        <v>12.024849571061019</v>
      </c>
    </row>
    <row r="193" spans="4:4" x14ac:dyDescent="0.3">
      <c r="D193">
        <v>12.147240682026274</v>
      </c>
    </row>
    <row r="194" spans="4:4" x14ac:dyDescent="0.3">
      <c r="D194">
        <v>12.514712083641527</v>
      </c>
    </row>
    <row r="195" spans="4:4" x14ac:dyDescent="0.3">
      <c r="D195">
        <v>12.394182946313254</v>
      </c>
    </row>
    <row r="196" spans="4:4" x14ac:dyDescent="0.3">
      <c r="D196">
        <v>12.282653996074933</v>
      </c>
    </row>
    <row r="197" spans="4:4" x14ac:dyDescent="0.3">
      <c r="D197">
        <v>12.275577278455749</v>
      </c>
    </row>
    <row r="198" spans="4:4" x14ac:dyDescent="0.3">
      <c r="D198">
        <v>12.103501374381313</v>
      </c>
    </row>
    <row r="199" spans="4:4" x14ac:dyDescent="0.3">
      <c r="D199">
        <v>12.160469153759461</v>
      </c>
    </row>
    <row r="200" spans="4:4" x14ac:dyDescent="0.3">
      <c r="D200">
        <v>12.168576815931658</v>
      </c>
    </row>
    <row r="201" spans="4:4" x14ac:dyDescent="0.3">
      <c r="D201">
        <v>12.12742308009239</v>
      </c>
    </row>
    <row r="202" spans="4:4" x14ac:dyDescent="0.3">
      <c r="D202">
        <v>12.191549396637129</v>
      </c>
    </row>
    <row r="203" spans="4:4" x14ac:dyDescent="0.3">
      <c r="D203">
        <v>12.071531866967723</v>
      </c>
    </row>
    <row r="204" spans="4:4" x14ac:dyDescent="0.3">
      <c r="D204">
        <v>11.845662105161198</v>
      </c>
    </row>
    <row r="205" spans="4:4" x14ac:dyDescent="0.3">
      <c r="D205">
        <v>12.008860755836681</v>
      </c>
    </row>
    <row r="206" spans="4:4" x14ac:dyDescent="0.3">
      <c r="D206">
        <v>12.042849826369038</v>
      </c>
    </row>
    <row r="207" spans="4:4" x14ac:dyDescent="0.3">
      <c r="D207">
        <v>11.762843241747422</v>
      </c>
    </row>
    <row r="208" spans="4:4" x14ac:dyDescent="0.3">
      <c r="D208">
        <v>11.848093194363024</v>
      </c>
    </row>
    <row r="209" spans="4:4" x14ac:dyDescent="0.3">
      <c r="D209">
        <v>11.794079020232267</v>
      </c>
    </row>
    <row r="210" spans="4:4" x14ac:dyDescent="0.3">
      <c r="D210">
        <v>11.66288733675977</v>
      </c>
    </row>
    <row r="211" spans="4:4" x14ac:dyDescent="0.3">
      <c r="D211">
        <v>11.691700649244082</v>
      </c>
    </row>
    <row r="212" spans="4:4" x14ac:dyDescent="0.3">
      <c r="D212">
        <v>11.819470212625907</v>
      </c>
    </row>
    <row r="213" spans="4:4" x14ac:dyDescent="0.3">
      <c r="D213">
        <v>12.263508570664206</v>
      </c>
    </row>
    <row r="214" spans="4:4" x14ac:dyDescent="0.3">
      <c r="D214">
        <v>12.26602044839828</v>
      </c>
    </row>
    <row r="215" spans="4:4" x14ac:dyDescent="0.3">
      <c r="D215">
        <v>12.146327737168841</v>
      </c>
    </row>
    <row r="216" spans="4:4" x14ac:dyDescent="0.3">
      <c r="D216">
        <v>12.227248122006088</v>
      </c>
    </row>
    <row r="217" spans="4:4" x14ac:dyDescent="0.3">
      <c r="D217">
        <v>11.965656894183901</v>
      </c>
    </row>
    <row r="218" spans="4:4" x14ac:dyDescent="0.3">
      <c r="D218">
        <v>12.120303049494359</v>
      </c>
    </row>
    <row r="219" spans="4:4" x14ac:dyDescent="0.3">
      <c r="D219">
        <v>12.21285013627222</v>
      </c>
    </row>
    <row r="220" spans="4:4" x14ac:dyDescent="0.3">
      <c r="D220">
        <v>12.121849350560689</v>
      </c>
    </row>
    <row r="221" spans="4:4" x14ac:dyDescent="0.3">
      <c r="D221">
        <v>12.079051597476425</v>
      </c>
    </row>
    <row r="222" spans="4:4" x14ac:dyDescent="0.3">
      <c r="D222">
        <v>11.991139750845807</v>
      </c>
    </row>
    <row r="223" spans="4:4" x14ac:dyDescent="0.3">
      <c r="D223">
        <v>12.094646622662825</v>
      </c>
    </row>
    <row r="224" spans="4:4" x14ac:dyDescent="0.3">
      <c r="D224">
        <v>12.067855349421954</v>
      </c>
    </row>
    <row r="225" spans="4:4" x14ac:dyDescent="0.3">
      <c r="D225">
        <v>11.841706718928295</v>
      </c>
    </row>
    <row r="226" spans="4:4" x14ac:dyDescent="0.3">
      <c r="D226">
        <v>11.688064099605437</v>
      </c>
    </row>
    <row r="227" spans="4:4" x14ac:dyDescent="0.3">
      <c r="D227">
        <v>11.627968522211537</v>
      </c>
    </row>
    <row r="228" spans="4:4" x14ac:dyDescent="0.3">
      <c r="D228">
        <v>11.652959087165964</v>
      </c>
    </row>
    <row r="229" spans="4:4" x14ac:dyDescent="0.3">
      <c r="D229">
        <v>11.759291229409648</v>
      </c>
    </row>
    <row r="230" spans="4:4" x14ac:dyDescent="0.3">
      <c r="D230">
        <v>11.782068806963103</v>
      </c>
    </row>
    <row r="231" spans="4:4" x14ac:dyDescent="0.3">
      <c r="D231">
        <v>11.756600287093937</v>
      </c>
    </row>
    <row r="232" spans="4:4" x14ac:dyDescent="0.3">
      <c r="D232">
        <v>11.576374247063354</v>
      </c>
    </row>
    <row r="233" spans="4:4" x14ac:dyDescent="0.3">
      <c r="D233">
        <v>11.496494343751527</v>
      </c>
    </row>
    <row r="234" spans="4:4" x14ac:dyDescent="0.3">
      <c r="D234">
        <v>11.665142366740387</v>
      </c>
    </row>
    <row r="235" spans="4:4" x14ac:dyDescent="0.3">
      <c r="D235">
        <v>11.60794887881203</v>
      </c>
    </row>
    <row r="236" spans="4:4" x14ac:dyDescent="0.3">
      <c r="D236">
        <v>11.216813771601295</v>
      </c>
    </row>
    <row r="237" spans="4:4" x14ac:dyDescent="0.3">
      <c r="D237">
        <v>11.045357669084016</v>
      </c>
    </row>
    <row r="238" spans="4:4" x14ac:dyDescent="0.3">
      <c r="D238">
        <v>10.945071950668289</v>
      </c>
    </row>
    <row r="239" spans="4:4" x14ac:dyDescent="0.3">
      <c r="D239">
        <v>10.876552726928395</v>
      </c>
    </row>
    <row r="240" spans="4:4" x14ac:dyDescent="0.3">
      <c r="D240">
        <v>10.763365895491521</v>
      </c>
    </row>
    <row r="241" spans="4:4" x14ac:dyDescent="0.3">
      <c r="D241">
        <v>10.892140245032342</v>
      </c>
    </row>
    <row r="242" spans="4:4" x14ac:dyDescent="0.3">
      <c r="D242">
        <v>10.647999076177072</v>
      </c>
    </row>
    <row r="243" spans="4:4" x14ac:dyDescent="0.3">
      <c r="D243">
        <v>10.839963628394411</v>
      </c>
    </row>
    <row r="244" spans="4:4" x14ac:dyDescent="0.3">
      <c r="D244">
        <v>11.711797174506286</v>
      </c>
    </row>
    <row r="245" spans="4:4" x14ac:dyDescent="0.3">
      <c r="D245">
        <v>11.558837933727855</v>
      </c>
    </row>
    <row r="246" spans="4:4" x14ac:dyDescent="0.3">
      <c r="D246">
        <v>11.68179130321899</v>
      </c>
    </row>
    <row r="247" spans="4:4" x14ac:dyDescent="0.3">
      <c r="D247">
        <v>11.547491507908038</v>
      </c>
    </row>
    <row r="248" spans="4:4" x14ac:dyDescent="0.3">
      <c r="D248">
        <v>11.17178884600591</v>
      </c>
    </row>
    <row r="249" spans="4:4" x14ac:dyDescent="0.3">
      <c r="D249">
        <v>11.152917518229602</v>
      </c>
    </row>
    <row r="250" spans="4:4" x14ac:dyDescent="0.3">
      <c r="D250">
        <v>11.331768309592576</v>
      </c>
    </row>
    <row r="251" spans="4:4" x14ac:dyDescent="0.3">
      <c r="D251">
        <v>11.610978135251109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_StockPrice">
                <anchor moveWithCells="1" sizeWithCells="1">
                  <from>
                    <xdr:col>15</xdr:col>
                    <xdr:colOff>7620</xdr:colOff>
                    <xdr:row>2</xdr:row>
                    <xdr:rowOff>0</xdr:rowOff>
                  </from>
                  <to>
                    <xdr:col>17</xdr:col>
                    <xdr:colOff>601980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2"/>
  <sheetViews>
    <sheetView workbookViewId="0">
      <selection activeCell="R79" sqref="R79"/>
    </sheetView>
  </sheetViews>
  <sheetFormatPr defaultRowHeight="14.4" x14ac:dyDescent="0.3"/>
  <cols>
    <col min="5" max="8" width="12" bestFit="1" customWidth="1"/>
    <col min="9" max="9" width="12.6640625" bestFit="1" customWidth="1"/>
    <col min="10" max="10" width="12" bestFit="1" customWidth="1"/>
    <col min="13" max="13" width="23.88671875" bestFit="1" customWidth="1"/>
  </cols>
  <sheetData>
    <row r="1" spans="1:13" x14ac:dyDescent="0.3">
      <c r="A1" t="s">
        <v>24</v>
      </c>
      <c r="B1">
        <v>0.05</v>
      </c>
      <c r="D1" t="s">
        <v>23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</row>
    <row r="2" spans="1:13" x14ac:dyDescent="0.3">
      <c r="A2" t="s">
        <v>25</v>
      </c>
      <c r="B2">
        <v>1</v>
      </c>
      <c r="D2">
        <v>0</v>
      </c>
      <c r="E2" t="e">
        <f>bsoption(D2,$B$1,$B$2,$B$3,$B$4,$B$5)</f>
        <v>#VALUE!</v>
      </c>
      <c r="F2" t="e">
        <f>BSDelta(D2,$B$1,$B$2,$B$3,$B$4,$B$5)</f>
        <v>#VALUE!</v>
      </c>
      <c r="G2" t="e">
        <f>BSGamma(D2,$B$1,$B$2,$B$3,$B$4,$B$5)</f>
        <v>#VALUE!</v>
      </c>
      <c r="H2" t="e">
        <f>BSVega(D2,$B$1,$B$2,$B$3,$B$4,$B$5)</f>
        <v>#VALUE!</v>
      </c>
      <c r="I2" t="e">
        <f>BSTheta(D2,$B$1,$B$2,$B$3,$B$4,$B$5)</f>
        <v>#VALUE!</v>
      </c>
      <c r="J2" t="e">
        <f>BSRho(D2,$B$1,$B$2,$B$3,$B$4,$B$5)</f>
        <v>#VALUE!</v>
      </c>
      <c r="M2" s="2"/>
    </row>
    <row r="3" spans="1:13" x14ac:dyDescent="0.3">
      <c r="A3" t="s">
        <v>33</v>
      </c>
      <c r="B3">
        <v>0.2</v>
      </c>
      <c r="D3">
        <v>1</v>
      </c>
      <c r="E3">
        <f t="shared" ref="E3:E66" si="0">bsoption(D3,$B$1,$B$2,$B$3,$B$4,$B$5)</f>
        <v>1.5609719247529504E-84</v>
      </c>
      <c r="F3">
        <f t="shared" ref="F3:F66" si="1">BSDelta(D3,$B$1,$B$2,$B$3,$B$4,$B$5)</f>
        <v>1.522952292937352E-82</v>
      </c>
      <c r="G3">
        <f t="shared" ref="G3:G66" si="2">BSGamma(D3,$B$1,$B$2,$B$3,$B$4,$B$5)</f>
        <v>1.4667471720210008E-80</v>
      </c>
      <c r="H3">
        <f t="shared" ref="H3:H66" si="3">BSVega(D3,$B$1,$B$2,$B$3,$B$4,$B$5)</f>
        <v>4.2749307849555495E-82</v>
      </c>
      <c r="I3">
        <f t="shared" ref="I3:I66" si="4">BSTheta(D3,$B$1,$B$2,$B$3,$B$4,$B$5)</f>
        <v>-3.0088614727264931E-82</v>
      </c>
      <c r="J3">
        <f t="shared" ref="J3:J66" si="5">BSRho(D3,$B$1,$B$2,$B$3,$B$4,$B$5)</f>
        <v>1.5073425736898225E-82</v>
      </c>
      <c r="M3" s="2"/>
    </row>
    <row r="4" spans="1:13" x14ac:dyDescent="0.3">
      <c r="A4" t="s">
        <v>26</v>
      </c>
      <c r="B4">
        <v>50</v>
      </c>
      <c r="D4">
        <v>2</v>
      </c>
      <c r="E4">
        <f t="shared" si="0"/>
        <v>9.342656080825965E-58</v>
      </c>
      <c r="F4">
        <f t="shared" si="1"/>
        <v>3.7532120707012284E-56</v>
      </c>
      <c r="G4">
        <f t="shared" si="2"/>
        <v>1.4832123091665971E-54</v>
      </c>
      <c r="H4">
        <f t="shared" si="3"/>
        <v>2.4454125580742127E-55</v>
      </c>
      <c r="I4">
        <f t="shared" si="4"/>
        <v>-1.2236348352362488E-55</v>
      </c>
      <c r="J4">
        <f t="shared" si="5"/>
        <v>7.4129975805941971E-56</v>
      </c>
      <c r="M4" s="2"/>
    </row>
    <row r="5" spans="1:13" x14ac:dyDescent="0.3">
      <c r="A5" t="s">
        <v>22</v>
      </c>
      <c r="B5">
        <v>0</v>
      </c>
      <c r="D5">
        <v>3</v>
      </c>
      <c r="E5">
        <f t="shared" si="0"/>
        <v>1.7125924543297964E-44</v>
      </c>
      <c r="F5">
        <f t="shared" si="1"/>
        <v>4.0130648257068873E-43</v>
      </c>
      <c r="G5">
        <f t="shared" si="2"/>
        <v>9.2228258864826289E-42</v>
      </c>
      <c r="H5">
        <f t="shared" si="3"/>
        <v>4.1902600330853626E-42</v>
      </c>
      <c r="I5">
        <f t="shared" si="4"/>
        <v>-1.719448335725312E-42</v>
      </c>
      <c r="J5">
        <f t="shared" si="5"/>
        <v>1.1867935231687682E-42</v>
      </c>
    </row>
    <row r="6" spans="1:13" x14ac:dyDescent="0.3">
      <c r="D6">
        <v>4</v>
      </c>
      <c r="E6">
        <f t="shared" si="0"/>
        <v>3.7337365357800028E-36</v>
      </c>
      <c r="F6">
        <f t="shared" si="1"/>
        <v>5.8979941794646483E-35</v>
      </c>
      <c r="G6">
        <f t="shared" si="2"/>
        <v>9.1116926830401965E-34</v>
      </c>
      <c r="H6">
        <f t="shared" si="3"/>
        <v>8.4981202043398308E-34</v>
      </c>
      <c r="I6">
        <f t="shared" si="4"/>
        <v>-3.0318346738942659E-34</v>
      </c>
      <c r="J6">
        <f t="shared" si="5"/>
        <v>2.3218603064280593E-34</v>
      </c>
    </row>
    <row r="7" spans="1:13" x14ac:dyDescent="0.3">
      <c r="D7">
        <v>5</v>
      </c>
      <c r="E7">
        <f t="shared" si="0"/>
        <v>2.6836435331096372E-30</v>
      </c>
      <c r="F7">
        <f t="shared" si="1"/>
        <v>3.0959927757765066E-29</v>
      </c>
      <c r="G7">
        <f t="shared" si="2"/>
        <v>3.4833399957215784E-28</v>
      </c>
      <c r="H7">
        <f t="shared" si="3"/>
        <v>5.6753768606483189E-28</v>
      </c>
      <c r="I7">
        <f t="shared" si="4"/>
        <v>-1.8177279954886471E-28</v>
      </c>
      <c r="J7">
        <f t="shared" si="5"/>
        <v>1.5211599525571568E-28</v>
      </c>
    </row>
    <row r="8" spans="1:13" x14ac:dyDescent="0.3">
      <c r="D8">
        <v>6</v>
      </c>
      <c r="E8">
        <f t="shared" si="0"/>
        <v>6.5834771122984748E-26</v>
      </c>
      <c r="F8">
        <f t="shared" si="1"/>
        <v>5.8370536342514026E-25</v>
      </c>
      <c r="G8">
        <f t="shared" si="2"/>
        <v>5.0330443694525074E-24</v>
      </c>
      <c r="H8">
        <f t="shared" si="3"/>
        <v>1.2935484887214651E-23</v>
      </c>
      <c r="I8">
        <f t="shared" si="4"/>
        <v>-3.7956118164771991E-24</v>
      </c>
      <c r="J8">
        <f t="shared" si="5"/>
        <v>3.4363974094278572E-24</v>
      </c>
    </row>
    <row r="9" spans="1:13" x14ac:dyDescent="0.3">
      <c r="D9">
        <v>7</v>
      </c>
      <c r="E9">
        <f t="shared" si="0"/>
        <v>1.7913425549052379E-22</v>
      </c>
      <c r="F9">
        <f t="shared" si="1"/>
        <v>1.2645583399798442E-21</v>
      </c>
      <c r="G9">
        <f t="shared" si="2"/>
        <v>8.6566397857088829E-21</v>
      </c>
      <c r="H9">
        <f t="shared" si="3"/>
        <v>3.2709075880635902E-20</v>
      </c>
      <c r="I9">
        <f t="shared" si="4"/>
        <v>-8.9171456962131262E-21</v>
      </c>
      <c r="J9">
        <f t="shared" si="5"/>
        <v>8.6727741243683857E-21</v>
      </c>
    </row>
    <row r="10" spans="1:13" x14ac:dyDescent="0.3">
      <c r="D10">
        <v>8</v>
      </c>
      <c r="E10">
        <f t="shared" si="0"/>
        <v>1.0569684995724303E-19</v>
      </c>
      <c r="F10">
        <f t="shared" si="1"/>
        <v>6.0970680317637213E-19</v>
      </c>
      <c r="G10">
        <f t="shared" si="2"/>
        <v>3.4004977129763912E-18</v>
      </c>
      <c r="H10">
        <f t="shared" si="3"/>
        <v>1.7940778424499397E-17</v>
      </c>
      <c r="I10">
        <f t="shared" si="4"/>
        <v>-4.5912349513824683E-18</v>
      </c>
      <c r="J10">
        <f t="shared" si="5"/>
        <v>4.7719575754537341E-18</v>
      </c>
    </row>
    <row r="11" spans="1:13" x14ac:dyDescent="0.3">
      <c r="D11">
        <v>9</v>
      </c>
      <c r="E11">
        <f t="shared" si="0"/>
        <v>2.0468974266839185E-17</v>
      </c>
      <c r="F11">
        <f t="shared" si="1"/>
        <v>9.8419499779181867E-17</v>
      </c>
      <c r="G11">
        <f t="shared" si="2"/>
        <v>4.5613239743070029E-16</v>
      </c>
      <c r="H11">
        <f t="shared" si="3"/>
        <v>3.2305094906068322E-15</v>
      </c>
      <c r="I11">
        <f t="shared" si="4"/>
        <v>-7.8219981002502435E-16</v>
      </c>
      <c r="J11">
        <f t="shared" si="5"/>
        <v>8.6530652374579763E-16</v>
      </c>
    </row>
    <row r="12" spans="1:13" x14ac:dyDescent="0.3">
      <c r="D12">
        <v>10</v>
      </c>
      <c r="E12">
        <f t="shared" si="0"/>
        <v>1.7082517656588832E-15</v>
      </c>
      <c r="F12">
        <f t="shared" si="1"/>
        <v>6.9545740076096708E-15</v>
      </c>
      <c r="G12">
        <f t="shared" si="2"/>
        <v>2.7202995696898177E-14</v>
      </c>
      <c r="H12">
        <f t="shared" si="3"/>
        <v>2.5072091309432885E-13</v>
      </c>
      <c r="I12">
        <f t="shared" si="4"/>
        <v>-5.7797865809318255E-14</v>
      </c>
      <c r="J12">
        <f t="shared" si="5"/>
        <v>6.7837488310437821E-14</v>
      </c>
    </row>
    <row r="13" spans="1:13" x14ac:dyDescent="0.3">
      <c r="D13">
        <v>11</v>
      </c>
      <c r="E13">
        <f t="shared" si="0"/>
        <v>7.4109739697720967E-14</v>
      </c>
      <c r="F13">
        <f t="shared" si="1"/>
        <v>2.5871988402614472E-13</v>
      </c>
      <c r="G13">
        <f t="shared" si="2"/>
        <v>8.648613019090904E-13</v>
      </c>
      <c r="H13">
        <f t="shared" si="3"/>
        <v>1.0115841266228022E-11</v>
      </c>
      <c r="I13">
        <f t="shared" si="4"/>
        <v>-2.231554799849492E-12</v>
      </c>
      <c r="J13">
        <f t="shared" si="5"/>
        <v>2.7718089845898711E-12</v>
      </c>
    </row>
    <row r="14" spans="1:13" x14ac:dyDescent="0.3">
      <c r="D14">
        <v>12</v>
      </c>
      <c r="E14">
        <f t="shared" si="0"/>
        <v>1.9110752640776334E-12</v>
      </c>
      <c r="F14">
        <f t="shared" si="1"/>
        <v>5.7809817789495238E-12</v>
      </c>
      <c r="G14">
        <f t="shared" si="2"/>
        <v>1.6685729131105706E-11</v>
      </c>
      <c r="H14">
        <f t="shared" si="3"/>
        <v>2.4258957421173281E-10</v>
      </c>
      <c r="I14">
        <f t="shared" si="4"/>
        <v>-5.142793520175027E-11</v>
      </c>
      <c r="J14">
        <f t="shared" si="5"/>
        <v>6.7460706083316655E-11</v>
      </c>
    </row>
    <row r="15" spans="1:13" x14ac:dyDescent="0.3">
      <c r="D15">
        <v>13</v>
      </c>
      <c r="E15">
        <f t="shared" si="0"/>
        <v>3.2332727314612107E-11</v>
      </c>
      <c r="F15">
        <f t="shared" si="1"/>
        <v>8.5492755717427925E-11</v>
      </c>
      <c r="G15">
        <f t="shared" si="2"/>
        <v>2.1488593631115652E-10</v>
      </c>
      <c r="H15">
        <f t="shared" si="3"/>
        <v>3.8162797402236465E-9</v>
      </c>
      <c r="I15">
        <f t="shared" si="4"/>
        <v>-7.8026811958230671E-10</v>
      </c>
      <c r="J15">
        <f t="shared" si="5"/>
        <v>1.0790730970119509E-9</v>
      </c>
    </row>
    <row r="16" spans="1:13" x14ac:dyDescent="0.3">
      <c r="D16">
        <v>14</v>
      </c>
      <c r="E16">
        <f t="shared" si="0"/>
        <v>3.8668993522746087E-10</v>
      </c>
      <c r="F16">
        <f t="shared" si="1"/>
        <v>9.0038688615161265E-10</v>
      </c>
      <c r="G16">
        <f t="shared" si="2"/>
        <v>1.9850173839557259E-9</v>
      </c>
      <c r="H16">
        <f t="shared" si="3"/>
        <v>4.2428554071203852E-8</v>
      </c>
      <c r="I16">
        <f t="shared" si="4"/>
        <v>-8.3922044686512021E-9</v>
      </c>
      <c r="J16">
        <f t="shared" si="5"/>
        <v>1.2218726470895116E-8</v>
      </c>
    </row>
    <row r="17" spans="4:10" x14ac:dyDescent="0.3">
      <c r="D17">
        <v>15</v>
      </c>
      <c r="E17">
        <f t="shared" si="0"/>
        <v>3.4628509714063893E-9</v>
      </c>
      <c r="F17">
        <f t="shared" si="1"/>
        <v>7.1455449261630954E-9</v>
      </c>
      <c r="G17">
        <f t="shared" si="2"/>
        <v>1.3902045716941078E-8</v>
      </c>
      <c r="H17">
        <f t="shared" si="3"/>
        <v>3.5308615446528146E-7</v>
      </c>
      <c r="I17">
        <f t="shared" si="4"/>
        <v>-6.774522187228686E-8</v>
      </c>
      <c r="J17">
        <f t="shared" si="5"/>
        <v>1.0372032292104004E-7</v>
      </c>
    </row>
    <row r="18" spans="4:10" x14ac:dyDescent="0.3">
      <c r="D18">
        <v>16</v>
      </c>
      <c r="E18">
        <f t="shared" si="0"/>
        <v>2.4293663027771789E-8</v>
      </c>
      <c r="F18">
        <f t="shared" si="1"/>
        <v>4.4669699034676287E-8</v>
      </c>
      <c r="G18">
        <f t="shared" si="2"/>
        <v>7.7096309899900681E-8</v>
      </c>
      <c r="H18">
        <f t="shared" si="3"/>
        <v>2.3009510320641326E-6</v>
      </c>
      <c r="I18">
        <f t="shared" si="4"/>
        <v>-4.2925418276384397E-7</v>
      </c>
      <c r="J18">
        <f t="shared" si="5"/>
        <v>6.904215215270488E-7</v>
      </c>
    </row>
    <row r="19" spans="4:10" x14ac:dyDescent="0.3">
      <c r="D19">
        <v>17</v>
      </c>
      <c r="E19">
        <f t="shared" si="0"/>
        <v>1.3842475316407126E-7</v>
      </c>
      <c r="F19">
        <f t="shared" si="1"/>
        <v>2.2789207560764433E-7</v>
      </c>
      <c r="G19">
        <f t="shared" si="2"/>
        <v>3.5049281646330183E-7</v>
      </c>
      <c r="H19">
        <f t="shared" si="3"/>
        <v>1.2172373018217043E-5</v>
      </c>
      <c r="I19">
        <f t="shared" si="4"/>
        <v>-2.2126355057661787E-6</v>
      </c>
      <c r="J19">
        <f t="shared" si="5"/>
        <v>3.7357405321658822E-6</v>
      </c>
    </row>
    <row r="20" spans="4:10" x14ac:dyDescent="0.3">
      <c r="D20">
        <v>18</v>
      </c>
      <c r="E20">
        <f t="shared" si="0"/>
        <v>6.5959597392611206E-7</v>
      </c>
      <c r="F20">
        <f t="shared" si="1"/>
        <v>9.7636259450815934E-7</v>
      </c>
      <c r="G20">
        <f t="shared" si="2"/>
        <v>1.3433103361905783E-6</v>
      </c>
      <c r="H20">
        <f t="shared" si="3"/>
        <v>5.3818482403761752E-5</v>
      </c>
      <c r="I20">
        <f t="shared" si="4"/>
        <v>-9.5503975148759847E-6</v>
      </c>
      <c r="J20">
        <f t="shared" si="5"/>
        <v>1.6914930727220755E-5</v>
      </c>
    </row>
    <row r="21" spans="4:10" x14ac:dyDescent="0.3">
      <c r="D21">
        <v>19</v>
      </c>
      <c r="E21">
        <f t="shared" si="0"/>
        <v>2.6919823701847023E-6</v>
      </c>
      <c r="F21">
        <f t="shared" si="1"/>
        <v>3.596094022369637E-6</v>
      </c>
      <c r="G21">
        <f t="shared" si="2"/>
        <v>4.440901540635817E-6</v>
      </c>
      <c r="H21">
        <f t="shared" si="3"/>
        <v>2.0367089641705545E-4</v>
      </c>
      <c r="I21">
        <f t="shared" si="4"/>
        <v>-3.5344999326132525E-5</v>
      </c>
      <c r="J21">
        <f t="shared" si="5"/>
        <v>6.5633804054838403E-5</v>
      </c>
    </row>
    <row r="22" spans="4:10" x14ac:dyDescent="0.3">
      <c r="D22">
        <v>20</v>
      </c>
      <c r="E22">
        <f t="shared" si="0"/>
        <v>9.5983152510306148E-6</v>
      </c>
      <c r="F22">
        <f t="shared" si="1"/>
        <v>1.160929174145217E-5</v>
      </c>
      <c r="G22">
        <f t="shared" si="2"/>
        <v>1.2905810391924599E-5</v>
      </c>
      <c r="H22">
        <f t="shared" si="3"/>
        <v>6.7287454230670124E-4</v>
      </c>
      <c r="I22">
        <f t="shared" si="4"/>
        <v>-1.1437585911429743E-4</v>
      </c>
      <c r="J22">
        <f t="shared" si="5"/>
        <v>2.2258751957801278E-4</v>
      </c>
    </row>
    <row r="23" spans="4:10" x14ac:dyDescent="0.3">
      <c r="D23">
        <v>21</v>
      </c>
      <c r="E23">
        <f t="shared" si="0"/>
        <v>3.0397216822064142E-5</v>
      </c>
      <c r="F23">
        <f t="shared" si="1"/>
        <v>3.3386202879984969E-5</v>
      </c>
      <c r="G23">
        <f t="shared" si="2"/>
        <v>3.3495063034068793E-5</v>
      </c>
      <c r="H23">
        <f t="shared" si="3"/>
        <v>1.9728899668678096E-3</v>
      </c>
      <c r="I23">
        <f t="shared" si="4"/>
        <v>-3.2896210814336782E-4</v>
      </c>
      <c r="J23">
        <f t="shared" si="5"/>
        <v>6.7071304365762024E-4</v>
      </c>
    </row>
    <row r="24" spans="4:10" x14ac:dyDescent="0.3">
      <c r="D24">
        <v>22</v>
      </c>
      <c r="E24">
        <f t="shared" si="0"/>
        <v>8.6705949314496442E-5</v>
      </c>
      <c r="F24">
        <f t="shared" si="1"/>
        <v>8.670439426361129E-5</v>
      </c>
      <c r="G24">
        <f t="shared" si="2"/>
        <v>7.8674580745667307E-5</v>
      </c>
      <c r="H24">
        <f t="shared" si="3"/>
        <v>5.2055301624688612E-3</v>
      </c>
      <c r="I24">
        <f t="shared" si="4"/>
        <v>-8.5260947784230722E-4</v>
      </c>
      <c r="J24">
        <f t="shared" si="5"/>
        <v>1.8207907244849519E-3</v>
      </c>
    </row>
    <row r="25" spans="4:10" x14ac:dyDescent="0.3">
      <c r="D25">
        <v>23</v>
      </c>
      <c r="E25">
        <f t="shared" si="0"/>
        <v>2.2541896157672603E-4</v>
      </c>
      <c r="F25">
        <f t="shared" si="1"/>
        <v>2.0571308682042872E-4</v>
      </c>
      <c r="G25">
        <f t="shared" si="2"/>
        <v>1.6914039190189591E-4</v>
      </c>
      <c r="H25">
        <f t="shared" si="3"/>
        <v>1.2506642924042471E-2</v>
      </c>
      <c r="I25">
        <f t="shared" si="4"/>
        <v>-2.014804448086716E-3</v>
      </c>
      <c r="J25">
        <f t="shared" si="5"/>
        <v>4.5059820352931343E-3</v>
      </c>
    </row>
    <row r="26" spans="4:10" x14ac:dyDescent="0.3">
      <c r="D26">
        <v>24</v>
      </c>
      <c r="E26">
        <f t="shared" si="0"/>
        <v>5.3959354445567813E-4</v>
      </c>
      <c r="F26">
        <f t="shared" si="1"/>
        <v>4.5033578808841257E-4</v>
      </c>
      <c r="G26">
        <f t="shared" si="2"/>
        <v>3.3605263135615625E-4</v>
      </c>
      <c r="H26">
        <f t="shared" si="3"/>
        <v>2.7638166740432436E-2</v>
      </c>
      <c r="I26">
        <f t="shared" si="4"/>
        <v>-4.3847495817062321E-3</v>
      </c>
      <c r="J26">
        <f t="shared" si="5"/>
        <v>1.0268465369666224E-2</v>
      </c>
    </row>
    <row r="27" spans="4:10" x14ac:dyDescent="0.3">
      <c r="D27">
        <v>25</v>
      </c>
      <c r="E27">
        <f t="shared" si="0"/>
        <v>1.1997087766548627E-3</v>
      </c>
      <c r="F27">
        <f t="shared" si="1"/>
        <v>9.1743260394515119E-4</v>
      </c>
      <c r="G27">
        <f t="shared" si="2"/>
        <v>6.2217972896981739E-4</v>
      </c>
      <c r="H27">
        <f t="shared" si="3"/>
        <v>5.6668237714313716E-2</v>
      </c>
      <c r="I27">
        <f t="shared" si="4"/>
        <v>-8.8640519282214125E-3</v>
      </c>
      <c r="J27">
        <f t="shared" si="5"/>
        <v>2.1736106321973918E-2</v>
      </c>
    </row>
    <row r="28" spans="4:10" x14ac:dyDescent="0.3">
      <c r="D28">
        <v>26</v>
      </c>
      <c r="E28">
        <f t="shared" si="0"/>
        <v>2.4963744535785107E-3</v>
      </c>
      <c r="F28">
        <f t="shared" si="1"/>
        <v>1.7522228265699302E-3</v>
      </c>
      <c r="G28">
        <f t="shared" si="2"/>
        <v>1.0811568534607554E-3</v>
      </c>
      <c r="H28">
        <f t="shared" si="3"/>
        <v>0.10861652484163449</v>
      </c>
      <c r="I28">
        <f t="shared" si="4"/>
        <v>-1.6770311610651397E-2</v>
      </c>
      <c r="J28">
        <f t="shared" si="5"/>
        <v>4.3061419037239673E-2</v>
      </c>
    </row>
    <row r="29" spans="4:10" x14ac:dyDescent="0.3">
      <c r="D29">
        <v>27</v>
      </c>
      <c r="E29">
        <f t="shared" si="0"/>
        <v>4.8937039726662246E-3</v>
      </c>
      <c r="F29">
        <f t="shared" si="1"/>
        <v>3.1577875391597013E-3</v>
      </c>
      <c r="G29">
        <f t="shared" si="2"/>
        <v>1.7743365101931736E-3</v>
      </c>
      <c r="H29">
        <f t="shared" si="3"/>
        <v>0.19589313987563226</v>
      </c>
      <c r="I29">
        <f t="shared" si="4"/>
        <v>-2.988815429784876E-2</v>
      </c>
      <c r="J29">
        <f t="shared" si="5"/>
        <v>8.0366559584645711E-2</v>
      </c>
    </row>
    <row r="30" spans="4:10" x14ac:dyDescent="0.3">
      <c r="D30">
        <v>28</v>
      </c>
      <c r="E30">
        <f t="shared" si="0"/>
        <v>9.0901990051417692E-3</v>
      </c>
      <c r="F30">
        <f t="shared" si="1"/>
        <v>5.4001828370714424E-3</v>
      </c>
      <c r="G30">
        <f t="shared" si="2"/>
        <v>2.7652026453926473E-3</v>
      </c>
      <c r="H30">
        <f t="shared" si="3"/>
        <v>0.33434579843435497</v>
      </c>
      <c r="I30">
        <f t="shared" si="4"/>
        <v>-5.0464123501399644E-2</v>
      </c>
      <c r="J30">
        <f t="shared" si="5"/>
        <v>0.14211492043285862</v>
      </c>
    </row>
    <row r="31" spans="4:10" x14ac:dyDescent="0.3">
      <c r="D31">
        <v>29</v>
      </c>
      <c r="E31">
        <f t="shared" si="0"/>
        <v>1.608160638146594E-2</v>
      </c>
      <c r="F31">
        <f t="shared" si="1"/>
        <v>8.8069554637979063E-3</v>
      </c>
      <c r="G31">
        <f t="shared" si="2"/>
        <v>4.111899920429536E-3</v>
      </c>
      <c r="H31">
        <f t="shared" si="3"/>
        <v>0.54276440504717938</v>
      </c>
      <c r="I31">
        <f t="shared" si="4"/>
        <v>-8.1128161765058479E-2</v>
      </c>
      <c r="J31">
        <f t="shared" si="5"/>
        <v>0.23932010206867332</v>
      </c>
    </row>
    <row r="32" spans="4:10" x14ac:dyDescent="0.3">
      <c r="D32">
        <v>30</v>
      </c>
      <c r="E32">
        <f t="shared" si="0"/>
        <v>2.7218365035210079E-2</v>
      </c>
      <c r="F32">
        <f t="shared" si="1"/>
        <v>1.3757667572379631E-2</v>
      </c>
      <c r="G32">
        <f t="shared" si="2"/>
        <v>5.8589294221981945E-3</v>
      </c>
      <c r="H32">
        <f t="shared" si="3"/>
        <v>0.84177346445088608</v>
      </c>
      <c r="I32">
        <f t="shared" si="4"/>
        <v>-0.12473631270637645</v>
      </c>
      <c r="J32">
        <f t="shared" si="5"/>
        <v>0.38551166213617888</v>
      </c>
    </row>
    <row r="33" spans="4:10" x14ac:dyDescent="0.3">
      <c r="D33">
        <v>31</v>
      </c>
      <c r="E33">
        <f t="shared" si="0"/>
        <v>4.4249450703820026E-2</v>
      </c>
      <c r="F33">
        <f t="shared" si="1"/>
        <v>2.0666250043050845E-2</v>
      </c>
      <c r="G33">
        <f t="shared" si="2"/>
        <v>8.0293394803937889E-3</v>
      </c>
      <c r="H33">
        <f t="shared" si="3"/>
        <v>1.2521543967582172</v>
      </c>
      <c r="I33">
        <f t="shared" si="4"/>
        <v>-0.18414411984470644</v>
      </c>
      <c r="J33">
        <f t="shared" si="5"/>
        <v>0.59640430063075611</v>
      </c>
    </row>
    <row r="34" spans="4:10" x14ac:dyDescent="0.3">
      <c r="D34">
        <v>32</v>
      </c>
      <c r="E34">
        <f t="shared" si="0"/>
        <v>6.9344919854563591E-2</v>
      </c>
      <c r="F34">
        <f t="shared" si="1"/>
        <v>2.9956349889287862E-2</v>
      </c>
      <c r="G34">
        <f t="shared" si="2"/>
        <v>1.0618725087566738E-2</v>
      </c>
      <c r="H34">
        <f t="shared" si="3"/>
        <v>1.7927558613056058</v>
      </c>
      <c r="I34">
        <f t="shared" si="4"/>
        <v>-0.26193440362349923</v>
      </c>
      <c r="J34">
        <f t="shared" si="5"/>
        <v>0.889258276602648</v>
      </c>
    </row>
    <row r="35" spans="4:10" x14ac:dyDescent="0.3">
      <c r="D35">
        <v>33</v>
      </c>
      <c r="E35">
        <f t="shared" si="0"/>
        <v>0.10509123815668775</v>
      </c>
      <c r="F35">
        <f t="shared" si="1"/>
        <v>4.2032024926565832E-2</v>
      </c>
      <c r="G35">
        <f t="shared" si="2"/>
        <v>1.359205691220333E-2</v>
      </c>
      <c r="H35">
        <f t="shared" si="3"/>
        <v>2.4782428506302234</v>
      </c>
      <c r="I35">
        <f t="shared" si="4"/>
        <v>-0.36013327876878787</v>
      </c>
      <c r="J35">
        <f t="shared" si="5"/>
        <v>1.2819655844199846</v>
      </c>
    </row>
    <row r="36" spans="4:10" x14ac:dyDescent="0.3">
      <c r="D36">
        <v>34</v>
      </c>
      <c r="E36">
        <f t="shared" si="0"/>
        <v>0.15445626751787223</v>
      </c>
      <c r="F36">
        <f t="shared" si="1"/>
        <v>5.7246928835850606E-2</v>
      </c>
      <c r="G36">
        <f t="shared" si="2"/>
        <v>1.6883876464790119E-2</v>
      </c>
      <c r="H36">
        <f t="shared" si="3"/>
        <v>3.3169833110071787</v>
      </c>
      <c r="I36">
        <f t="shared" si="4"/>
        <v>-0.47995218951099999</v>
      </c>
      <c r="J36">
        <f t="shared" si="5"/>
        <v>1.7919393129010484</v>
      </c>
    </row>
    <row r="37" spans="4:10" x14ac:dyDescent="0.3">
      <c r="D37">
        <v>35</v>
      </c>
      <c r="E37">
        <f t="shared" si="0"/>
        <v>0.22072410510768359</v>
      </c>
      <c r="F37">
        <f t="shared" si="1"/>
        <v>7.5875389491867534E-2</v>
      </c>
      <c r="G37">
        <f t="shared" si="2"/>
        <v>2.0401839190710609E-2</v>
      </c>
      <c r="H37">
        <f t="shared" si="3"/>
        <v>4.3093647901865593</v>
      </c>
      <c r="I37">
        <f t="shared" si="4"/>
        <v>-0.62159078652779398</v>
      </c>
      <c r="J37">
        <f t="shared" si="5"/>
        <v>2.4349145271076802</v>
      </c>
    </row>
    <row r="38" spans="4:10" x14ac:dyDescent="0.3">
      <c r="D38">
        <v>36</v>
      </c>
      <c r="E38">
        <f t="shared" si="0"/>
        <v>0.30740327325811068</v>
      </c>
      <c r="F38">
        <f t="shared" si="1"/>
        <v>9.808850421185164E-2</v>
      </c>
      <c r="G38">
        <f t="shared" si="2"/>
        <v>2.4033082333373673E-2</v>
      </c>
      <c r="H38">
        <f t="shared" si="3"/>
        <v>5.4467764888492134</v>
      </c>
      <c r="I38">
        <f t="shared" si="4"/>
        <v>-0.78412663799947313</v>
      </c>
      <c r="J38">
        <f t="shared" si="5"/>
        <v>3.2237828783685485</v>
      </c>
    </row>
    <row r="39" spans="4:10" x14ac:dyDescent="0.3">
      <c r="D39">
        <v>37</v>
      </c>
      <c r="E39">
        <f t="shared" si="0"/>
        <v>0.41811455328174496</v>
      </c>
      <c r="F39">
        <f t="shared" si="1"/>
        <v>0.12393765558058713</v>
      </c>
      <c r="G39">
        <f t="shared" si="2"/>
        <v>2.7652529225659406E-2</v>
      </c>
      <c r="H39">
        <f t="shared" si="3"/>
        <v>6.7113980612686346</v>
      </c>
      <c r="I39">
        <f t="shared" si="4"/>
        <v>-0.96550518535855356</v>
      </c>
      <c r="J39">
        <f t="shared" si="5"/>
        <v>4.1675787031999789</v>
      </c>
    </row>
    <row r="40" spans="4:10" x14ac:dyDescent="0.3">
      <c r="D40">
        <v>38</v>
      </c>
      <c r="E40">
        <f t="shared" si="0"/>
        <v>0.55646667765479663</v>
      </c>
      <c r="F40">
        <f t="shared" si="1"/>
        <v>0.15334685695990033</v>
      </c>
      <c r="G40">
        <f t="shared" si="2"/>
        <v>3.1132061357557968E-2</v>
      </c>
      <c r="H40">
        <f t="shared" si="3"/>
        <v>8.0768254474532686</v>
      </c>
      <c r="I40">
        <f t="shared" si="4"/>
        <v>-1.162629626347345</v>
      </c>
      <c r="J40">
        <f t="shared" si="5"/>
        <v>5.2707138868214161</v>
      </c>
    </row>
    <row r="41" spans="4:10" x14ac:dyDescent="0.3">
      <c r="D41">
        <v>39</v>
      </c>
      <c r="E41">
        <f t="shared" si="0"/>
        <v>0.72592896334984403</v>
      </c>
      <c r="F41">
        <f t="shared" si="1"/>
        <v>0.18611425617187966</v>
      </c>
      <c r="G41">
        <f t="shared" si="2"/>
        <v>3.4349494505004609E-2</v>
      </c>
      <c r="H41">
        <f t="shared" si="3"/>
        <v>9.5094564922616893</v>
      </c>
      <c r="I41">
        <f t="shared" si="4"/>
        <v>-1.3715379742099136</v>
      </c>
      <c r="J41">
        <f t="shared" si="5"/>
        <v>6.5325270273534626</v>
      </c>
    </row>
    <row r="42" spans="4:10" x14ac:dyDescent="0.3">
      <c r="D42">
        <v>40</v>
      </c>
      <c r="E42">
        <f t="shared" si="0"/>
        <v>0.92970978640608681</v>
      </c>
      <c r="F42">
        <f t="shared" si="1"/>
        <v>0.22192212964817964</v>
      </c>
      <c r="G42">
        <f t="shared" si="2"/>
        <v>3.719645134337575E-2</v>
      </c>
      <c r="H42">
        <f t="shared" si="3"/>
        <v>10.970472044877972</v>
      </c>
      <c r="I42">
        <f t="shared" si="4"/>
        <v>-1.587645212964079</v>
      </c>
      <c r="J42">
        <f t="shared" si="5"/>
        <v>7.9471753995210994</v>
      </c>
    </row>
    <row r="43" spans="4:10" x14ac:dyDescent="0.3">
      <c r="D43">
        <v>41</v>
      </c>
      <c r="E43">
        <f t="shared" si="0"/>
        <v>1.1706487157227432</v>
      </c>
      <c r="F43">
        <f t="shared" si="1"/>
        <v>0.26035391304643163</v>
      </c>
      <c r="G43">
        <f t="shared" si="2"/>
        <v>3.9584476972626556E-2</v>
      </c>
      <c r="H43">
        <f t="shared" si="3"/>
        <v>12.418192299894871</v>
      </c>
      <c r="I43">
        <f t="shared" si="4"/>
        <v>-1.8060232017787525</v>
      </c>
      <c r="J43">
        <f t="shared" si="5"/>
        <v>9.5038617191809536</v>
      </c>
    </row>
    <row r="44" spans="4:10" x14ac:dyDescent="0.3">
      <c r="D44">
        <v>42</v>
      </c>
      <c r="E44">
        <f t="shared" si="0"/>
        <v>1.451128391703735</v>
      </c>
      <c r="F44">
        <f t="shared" si="1"/>
        <v>0.30091630679418058</v>
      </c>
      <c r="G44">
        <f t="shared" si="2"/>
        <v>4.1449037987317951E-2</v>
      </c>
      <c r="H44">
        <f t="shared" si="3"/>
        <v>13.810567001597297</v>
      </c>
      <c r="I44">
        <f t="shared" si="4"/>
        <v>-2.0216898848751699</v>
      </c>
      <c r="J44">
        <f t="shared" si="5"/>
        <v>11.187356493651849</v>
      </c>
    </row>
    <row r="45" spans="4:10" x14ac:dyDescent="0.3">
      <c r="D45">
        <v>43</v>
      </c>
      <c r="E45">
        <f t="shared" si="0"/>
        <v>1.7730101427432441</v>
      </c>
      <c r="F45">
        <f t="shared" si="1"/>
        <v>0.3430642802517952</v>
      </c>
      <c r="G45">
        <f t="shared" si="2"/>
        <v>4.2751329687699582E-2</v>
      </c>
      <c r="H45">
        <f t="shared" si="3"/>
        <v>15.107569261322118</v>
      </c>
      <c r="I45">
        <f t="shared" si="4"/>
        <v>-2.2298818672553278</v>
      </c>
      <c r="J45">
        <f t="shared" si="5"/>
        <v>12.978753908083949</v>
      </c>
    </row>
    <row r="46" spans="4:10" x14ac:dyDescent="0.3">
      <c r="D46">
        <v>44</v>
      </c>
      <c r="E46">
        <f t="shared" si="0"/>
        <v>2.1375951605377779</v>
      </c>
      <c r="F46">
        <f t="shared" si="1"/>
        <v>0.38622684639358018</v>
      </c>
      <c r="G46">
        <f t="shared" si="2"/>
        <v>4.3478053282574328E-2</v>
      </c>
      <c r="H46">
        <f t="shared" si="3"/>
        <v>16.273299206715357</v>
      </c>
      <c r="I46">
        <f t="shared" si="4"/>
        <v>-2.4262895271402658</v>
      </c>
      <c r="J46">
        <f t="shared" si="5"/>
        <v>14.85638608077975</v>
      </c>
    </row>
    <row r="47" spans="4:10" x14ac:dyDescent="0.3">
      <c r="D47">
        <v>45</v>
      </c>
      <c r="E47">
        <f t="shared" si="0"/>
        <v>2.5456110394087759</v>
      </c>
      <c r="F47">
        <f t="shared" si="1"/>
        <v>0.4298317318895431</v>
      </c>
      <c r="G47">
        <f t="shared" si="2"/>
        <v>4.3639495159320189E-2</v>
      </c>
      <c r="H47">
        <f t="shared" si="3"/>
        <v>17.277656291390652</v>
      </c>
      <c r="I47">
        <f t="shared" si="4"/>
        <v>-2.6072403987335009</v>
      </c>
      <c r="J47">
        <f t="shared" si="5"/>
        <v>16.796816895620665</v>
      </c>
    </row>
    <row r="48" spans="4:10" x14ac:dyDescent="0.3">
      <c r="D48">
        <v>46</v>
      </c>
      <c r="E48">
        <f t="shared" si="0"/>
        <v>2.9972217949995184</v>
      </c>
      <c r="F48">
        <f t="shared" si="1"/>
        <v>0.47332745432577039</v>
      </c>
      <c r="G48">
        <f t="shared" si="2"/>
        <v>4.326633796664052E-2</v>
      </c>
      <c r="H48">
        <f t="shared" si="3"/>
        <v>18.097498342400577</v>
      </c>
      <c r="I48">
        <f t="shared" si="4"/>
        <v>-2.769823477947523</v>
      </c>
      <c r="J48">
        <f t="shared" si="5"/>
        <v>18.775841103985918</v>
      </c>
    </row>
    <row r="49" spans="4:10" x14ac:dyDescent="0.3">
      <c r="D49">
        <v>47</v>
      </c>
      <c r="E49">
        <f t="shared" si="0"/>
        <v>3.4920582120461958</v>
      </c>
      <c r="F49">
        <f t="shared" si="1"/>
        <v>0.51620176861942191</v>
      </c>
      <c r="G49">
        <f t="shared" si="2"/>
        <v>4.2405664210768954E-2</v>
      </c>
      <c r="H49">
        <f t="shared" si="3"/>
        <v>18.717263004527272</v>
      </c>
      <c r="I49">
        <f t="shared" si="4"/>
        <v>-2.9119534904851045</v>
      </c>
      <c r="J49">
        <f t="shared" si="5"/>
        <v>20.769424913066633</v>
      </c>
    </row>
    <row r="50" spans="4:10" x14ac:dyDescent="0.3">
      <c r="D50">
        <v>48</v>
      </c>
      <c r="E50">
        <f t="shared" si="0"/>
        <v>4.0292645614710487</v>
      </c>
      <c r="F50">
        <f t="shared" si="1"/>
        <v>0.55799589783012893</v>
      </c>
      <c r="G50">
        <f t="shared" si="2"/>
        <v>4.1116590310999554E-2</v>
      </c>
      <c r="H50">
        <f t="shared" si="3"/>
        <v>19.129076941303918</v>
      </c>
      <c r="I50">
        <f t="shared" si="4"/>
        <v>-3.0323794082496169</v>
      </c>
      <c r="J50">
        <f t="shared" si="5"/>
        <v>22.75453853437514</v>
      </c>
    </row>
    <row r="51" spans="4:10" x14ac:dyDescent="0.3">
      <c r="D51">
        <v>49</v>
      </c>
      <c r="E51">
        <f t="shared" si="0"/>
        <v>4.6075573524136288</v>
      </c>
      <c r="F51">
        <f t="shared" si="1"/>
        <v>0.59831437381129005</v>
      </c>
      <c r="G51">
        <f t="shared" si="2"/>
        <v>3.946590878914339E-2</v>
      </c>
      <c r="H51">
        <f t="shared" si="3"/>
        <v>19.332416179581593</v>
      </c>
      <c r="I51">
        <f t="shared" si="4"/>
        <v>-3.1306452882716451</v>
      </c>
      <c r="J51">
        <f t="shared" si="5"/>
        <v>24.709846964339583</v>
      </c>
    </row>
    <row r="52" spans="4:10" x14ac:dyDescent="0.3">
      <c r="D52">
        <v>50</v>
      </c>
      <c r="E52">
        <f t="shared" si="0"/>
        <v>5.2252917860927823</v>
      </c>
      <c r="F52">
        <f t="shared" si="1"/>
        <v>0.6368306511756191</v>
      </c>
      <c r="G52">
        <f t="shared" si="2"/>
        <v>3.752403469169379E-2</v>
      </c>
      <c r="H52">
        <f t="shared" si="3"/>
        <v>19.333405840142465</v>
      </c>
      <c r="I52">
        <f t="shared" si="4"/>
        <v>-3.2070137732190984</v>
      </c>
      <c r="J52">
        <f t="shared" si="5"/>
        <v>26.616240772688172</v>
      </c>
    </row>
    <row r="53" spans="4:10" x14ac:dyDescent="0.3">
      <c r="D53">
        <v>51</v>
      </c>
      <c r="E53">
        <f t="shared" si="0"/>
        <v>5.8805318751806794</v>
      </c>
      <c r="F53">
        <f t="shared" si="1"/>
        <v>0.67328890984990841</v>
      </c>
      <c r="G53">
        <f t="shared" si="2"/>
        <v>3.5361463557759841E-2</v>
      </c>
      <c r="H53">
        <f t="shared" si="3"/>
        <v>19.143859563873065</v>
      </c>
      <c r="I53">
        <f t="shared" si="4"/>
        <v>-3.2623634606328995</v>
      </c>
      <c r="J53">
        <f t="shared" si="5"/>
        <v>28.457202527164647</v>
      </c>
    </row>
    <row r="54" spans="4:10" x14ac:dyDescent="0.3">
      <c r="D54">
        <v>52</v>
      </c>
      <c r="E54">
        <f t="shared" si="0"/>
        <v>6.571120696789734</v>
      </c>
      <c r="F54">
        <f t="shared" si="1"/>
        <v>0.70750262557146315</v>
      </c>
      <c r="G54">
        <f t="shared" si="2"/>
        <v>3.3045863094999801E-2</v>
      </c>
      <c r="H54">
        <f t="shared" si="3"/>
        <v>18.780159929318398</v>
      </c>
      <c r="I54">
        <f t="shared" si="4"/>
        <v>-3.2980710678239067</v>
      </c>
      <c r="J54">
        <f t="shared" si="5"/>
        <v>30.219015832926353</v>
      </c>
    </row>
    <row r="55" spans="4:10" x14ac:dyDescent="0.3">
      <c r="D55">
        <v>53</v>
      </c>
      <c r="E55">
        <f t="shared" si="0"/>
        <v>7.2947478746788299</v>
      </c>
      <c r="F55">
        <f t="shared" si="1"/>
        <v>0.73935057160139073</v>
      </c>
      <c r="G55">
        <f t="shared" si="2"/>
        <v>3.0639846490785438E-2</v>
      </c>
      <c r="H55">
        <f t="shared" si="3"/>
        <v>18.262073528873749</v>
      </c>
      <c r="I55">
        <f t="shared" si="4"/>
        <v>-3.3158881968620704</v>
      </c>
      <c r="J55">
        <f t="shared" si="5"/>
        <v>31.890832420194879</v>
      </c>
    </row>
    <row r="56" spans="4:10" x14ac:dyDescent="0.3">
      <c r="D56">
        <v>54</v>
      </c>
      <c r="E56">
        <f t="shared" si="0"/>
        <v>8.0490120629705402</v>
      </c>
      <c r="F56">
        <f t="shared" si="1"/>
        <v>0.76877093185612155</v>
      </c>
      <c r="G56">
        <f t="shared" si="2"/>
        <v>2.8199415943314498E-2</v>
      </c>
      <c r="H56">
        <f t="shared" si="3"/>
        <v>17.611580855000227</v>
      </c>
      <c r="I56">
        <f t="shared" si="4"/>
        <v>-3.3178208506771028</v>
      </c>
      <c r="J56">
        <f t="shared" si="5"/>
        <v>33.464618257260021</v>
      </c>
    </row>
    <row r="57" spans="4:10" x14ac:dyDescent="0.3">
      <c r="D57">
        <v>55</v>
      </c>
      <c r="E57">
        <f t="shared" si="0"/>
        <v>8.8314768702952193</v>
      </c>
      <c r="F57">
        <f t="shared" si="1"/>
        <v>0.79575417130958659</v>
      </c>
      <c r="G57">
        <f t="shared" si="2"/>
        <v>2.5773021812171722E-2</v>
      </c>
      <c r="H57">
        <f t="shared" si="3"/>
        <v>16.851784354365108</v>
      </c>
      <c r="I57">
        <f t="shared" si="4"/>
        <v>-3.3060179472229914</v>
      </c>
      <c r="J57">
        <f t="shared" si="5"/>
        <v>34.93500255173204</v>
      </c>
    </row>
    <row r="58" spans="4:10" x14ac:dyDescent="0.3">
      <c r="D58">
        <v>56</v>
      </c>
      <c r="E58">
        <f t="shared" si="0"/>
        <v>9.6397192765938584</v>
      </c>
      <c r="F58">
        <f t="shared" si="1"/>
        <v>0.82033523982574619</v>
      </c>
      <c r="G58">
        <f t="shared" si="2"/>
        <v>2.3401155038649042E-2</v>
      </c>
      <c r="H58">
        <f t="shared" si="3"/>
        <v>16.005940178234127</v>
      </c>
      <c r="I58">
        <f t="shared" si="4"/>
        <v>-3.2826731517064647</v>
      </c>
      <c r="J58">
        <f t="shared" si="5"/>
        <v>36.29905415364793</v>
      </c>
    </row>
    <row r="59" spans="4:10" x14ac:dyDescent="0.3">
      <c r="D59">
        <v>57</v>
      </c>
      <c r="E59">
        <f t="shared" si="0"/>
        <v>10.471370126900467</v>
      </c>
      <c r="F59">
        <f t="shared" si="1"/>
        <v>0.84258559506308628</v>
      </c>
      <c r="G59">
        <f t="shared" si="2"/>
        <v>2.111637618148942E-2</v>
      </c>
      <c r="H59">
        <f t="shared" si="3"/>
        <v>15.096642034306326</v>
      </c>
      <c r="I59">
        <f t="shared" si="4"/>
        <v>-3.2499425638579549</v>
      </c>
      <c r="J59">
        <f t="shared" si="5"/>
        <v>37.556008791695447</v>
      </c>
    </row>
    <row r="60" spans="4:10" x14ac:dyDescent="0.3">
      <c r="D60">
        <v>58</v>
      </c>
      <c r="E60">
        <f t="shared" si="0"/>
        <v>11.324146722759991</v>
      </c>
      <c r="F60">
        <f t="shared" si="1"/>
        <v>0.86260543090421016</v>
      </c>
      <c r="G60">
        <f t="shared" si="2"/>
        <v>1.894368091023969E-2</v>
      </c>
      <c r="H60">
        <f t="shared" si="3"/>
        <v>14.145170337930777</v>
      </c>
      <c r="I60">
        <f t="shared" si="4"/>
        <v>-3.2098792651251369</v>
      </c>
      <c r="J60">
        <f t="shared" si="5"/>
        <v>38.706968269684197</v>
      </c>
    </row>
    <row r="61" spans="4:10" x14ac:dyDescent="0.3">
      <c r="D61">
        <v>59</v>
      </c>
      <c r="E61">
        <f t="shared" si="0"/>
        <v>12.195877868779959</v>
      </c>
      <c r="F61">
        <f t="shared" si="1"/>
        <v>0.88051639939636051</v>
      </c>
      <c r="G61">
        <f t="shared" si="2"/>
        <v>1.6901106280365744E-2</v>
      </c>
      <c r="H61">
        <f t="shared" si="3"/>
        <v>13.171007280671878</v>
      </c>
      <c r="I61">
        <f t="shared" si="4"/>
        <v>-3.1643845040193286</v>
      </c>
      <c r="J61">
        <f t="shared" si="5"/>
        <v>39.754589695605311</v>
      </c>
    </row>
    <row r="62" spans="4:10" x14ac:dyDescent="0.3">
      <c r="D62">
        <v>60</v>
      </c>
      <c r="E62">
        <f t="shared" si="0"/>
        <v>13.084521973423648</v>
      </c>
      <c r="F62">
        <f t="shared" si="1"/>
        <v>0.89645502307708047</v>
      </c>
      <c r="G62">
        <f t="shared" si="2"/>
        <v>1.500049192707663E-2</v>
      </c>
      <c r="H62">
        <f t="shared" si="3"/>
        <v>12.191508772070192</v>
      </c>
      <c r="I62">
        <f t="shared" si="4"/>
        <v>-3.1151743893095762</v>
      </c>
      <c r="J62">
        <f t="shared" si="5"/>
        <v>40.702779411201178</v>
      </c>
    </row>
    <row r="63" spans="4:10" x14ac:dyDescent="0.3">
      <c r="D63">
        <v>61</v>
      </c>
      <c r="E63">
        <f t="shared" si="0"/>
        <v>13.988178959149224</v>
      </c>
      <c r="F63">
        <f t="shared" si="1"/>
        <v>0.91056691495246678</v>
      </c>
      <c r="G63">
        <f t="shared" si="2"/>
        <v>1.3248323166316212E-2</v>
      </c>
      <c r="H63">
        <f t="shared" si="3"/>
        <v>11.221717432613177</v>
      </c>
      <c r="I63">
        <f t="shared" si="4"/>
        <v>-3.0637603526848154</v>
      </c>
      <c r="J63">
        <f t="shared" si="5"/>
        <v>41.556402852951251</v>
      </c>
    </row>
    <row r="64" spans="4:10" x14ac:dyDescent="0.3">
      <c r="D64">
        <v>62</v>
      </c>
      <c r="E64">
        <f t="shared" si="0"/>
        <v>14.905096820083777</v>
      </c>
      <c r="F64">
        <f t="shared" si="1"/>
        <v>0.92300185737501328</v>
      </c>
      <c r="G64">
        <f t="shared" si="2"/>
        <v>1.1646597046481253E-2</v>
      </c>
      <c r="H64">
        <f t="shared" si="3"/>
        <v>10.274296663622138</v>
      </c>
      <c r="I64">
        <f t="shared" si="4"/>
        <v>-3.0114412977918308</v>
      </c>
      <c r="J64">
        <f t="shared" si="5"/>
        <v>42.321018337167047</v>
      </c>
    </row>
    <row r="65" spans="4:10" x14ac:dyDescent="0.3">
      <c r="D65">
        <v>63</v>
      </c>
      <c r="E65">
        <f t="shared" si="0"/>
        <v>15.833673689533853</v>
      </c>
      <c r="F65">
        <f t="shared" si="1"/>
        <v>0.93390973911785757</v>
      </c>
      <c r="G65">
        <f t="shared" si="2"/>
        <v>1.0193666290937313E-2</v>
      </c>
      <c r="H65">
        <f t="shared" si="3"/>
        <v>9.3595638988363685</v>
      </c>
      <c r="I65">
        <f t="shared" si="4"/>
        <v>-2.9593052239191628</v>
      </c>
      <c r="J65">
        <f t="shared" si="5"/>
        <v>43.002639874891173</v>
      </c>
    </row>
    <row r="66" spans="4:10" x14ac:dyDescent="0.3">
      <c r="D66">
        <v>64</v>
      </c>
      <c r="E66">
        <f t="shared" si="0"/>
        <v>16.772456258594403</v>
      </c>
      <c r="F66">
        <f t="shared" si="1"/>
        <v>0.94343731140724418</v>
      </c>
      <c r="G66">
        <f t="shared" si="2"/>
        <v>8.8850288843878127E-3</v>
      </c>
      <c r="H66">
        <f t="shared" si="3"/>
        <v>8.4856009977112894</v>
      </c>
      <c r="I66">
        <f t="shared" si="4"/>
        <v>-2.9082381497825107</v>
      </c>
      <c r="J66">
        <f t="shared" si="5"/>
        <v>43.607531671469225</v>
      </c>
    </row>
    <row r="67" spans="4:10" x14ac:dyDescent="0.3">
      <c r="D67">
        <v>65</v>
      </c>
      <c r="E67">
        <f t="shared" ref="E67:E102" si="6">bsoption(D67,$B$1,$B$2,$B$3,$B$4,$B$5)</f>
        <v>17.720135333694998</v>
      </c>
      <c r="F67">
        <f t="shared" ref="F67:F102" si="7">BSDelta(D67,$B$1,$B$2,$B$3,$B$4,$B$5)</f>
        <v>0.95172569716748268</v>
      </c>
      <c r="G67">
        <f t="shared" ref="G67:G102" si="8">BSGamma(D67,$B$1,$B$2,$B$3,$B$4,$B$5)</f>
        <v>7.7140422330482456E-3</v>
      </c>
      <c r="H67">
        <f t="shared" ref="H67:H102" si="9">BSVega(D67,$B$1,$B$2,$B$3,$B$4,$B$5)</f>
        <v>7.6584209119560303</v>
      </c>
      <c r="I67">
        <f t="shared" ref="I67:I102" si="10">BSTheta(D67,$B$1,$B$2,$B$3,$B$4,$B$5)</f>
        <v>-2.8589383178021457</v>
      </c>
      <c r="J67">
        <f t="shared" ref="J67:J102" si="11">BSRho(D67,$B$1,$B$2,$B$3,$B$4,$B$5)</f>
        <v>44.142034982191376</v>
      </c>
    </row>
    <row r="68" spans="4:10" x14ac:dyDescent="0.3">
      <c r="D68">
        <v>66</v>
      </c>
      <c r="E68">
        <f t="shared" si="6"/>
        <v>18.675539246269182</v>
      </c>
      <c r="F68">
        <f t="shared" si="7"/>
        <v>0.95890857146666941</v>
      </c>
      <c r="G68">
        <f t="shared" si="8"/>
        <v>6.672550112394037E-3</v>
      </c>
      <c r="H68">
        <f t="shared" si="9"/>
        <v>6.8821718189579437</v>
      </c>
      <c r="I68">
        <f t="shared" si="10"/>
        <v>-2.8119338893183183</v>
      </c>
      <c r="J68">
        <f t="shared" si="11"/>
        <v>44.612426470530998</v>
      </c>
    </row>
    <row r="69" spans="4:10" x14ac:dyDescent="0.3">
      <c r="D69">
        <v>67</v>
      </c>
      <c r="E69">
        <f t="shared" si="6"/>
        <v>19.637625741133022</v>
      </c>
      <c r="F69">
        <f t="shared" si="7"/>
        <v>0.9651109231995767</v>
      </c>
      <c r="G69">
        <f t="shared" si="8"/>
        <v>5.7514179687660734E-3</v>
      </c>
      <c r="H69">
        <f t="shared" si="9"/>
        <v>6.1593625005435051</v>
      </c>
      <c r="I69">
        <f t="shared" si="10"/>
        <v>-2.7676026108977485</v>
      </c>
      <c r="J69">
        <f t="shared" si="11"/>
        <v>45.024806113238611</v>
      </c>
    </row>
    <row r="70" spans="4:10" x14ac:dyDescent="0.3">
      <c r="D70">
        <v>68</v>
      </c>
      <c r="E70">
        <f t="shared" si="6"/>
        <v>20.605472878972748</v>
      </c>
      <c r="F70">
        <f t="shared" si="7"/>
        <v>0.97044830652084724</v>
      </c>
      <c r="G70">
        <f t="shared" si="8"/>
        <v>4.9409776735205848E-3</v>
      </c>
      <c r="H70">
        <f t="shared" si="9"/>
        <v>5.4910955538465718</v>
      </c>
      <c r="I70">
        <f t="shared" si="10"/>
        <v>-2.7261922134694276</v>
      </c>
      <c r="J70">
        <f t="shared" si="11"/>
        <v>45.385011964444871</v>
      </c>
    </row>
    <row r="71" spans="4:10" x14ac:dyDescent="0.3">
      <c r="D71">
        <v>69</v>
      </c>
      <c r="E71">
        <f t="shared" si="6"/>
        <v>21.578269398118941</v>
      </c>
      <c r="F71">
        <f t="shared" si="7"/>
        <v>0.975026493722573</v>
      </c>
      <c r="G71">
        <f t="shared" si="8"/>
        <v>4.2313867432075825E-3</v>
      </c>
      <c r="H71">
        <f t="shared" si="9"/>
        <v>4.8772978242713183</v>
      </c>
      <c r="I71">
        <f t="shared" si="10"/>
        <v>-2.6878405791251558</v>
      </c>
      <c r="J71">
        <f t="shared" si="11"/>
        <v>45.698558668738592</v>
      </c>
    </row>
    <row r="72" spans="4:10" x14ac:dyDescent="0.3">
      <c r="D72">
        <v>70</v>
      </c>
      <c r="E72">
        <f t="shared" si="6"/>
        <v>22.555304895462413</v>
      </c>
      <c r="F72">
        <f t="shared" si="7"/>
        <v>0.97894144763979696</v>
      </c>
      <c r="G72">
        <f t="shared" si="8"/>
        <v>3.6129095847172435E-3</v>
      </c>
      <c r="H72">
        <f t="shared" si="9"/>
        <v>4.316940085997981</v>
      </c>
      <c r="I72">
        <f t="shared" si="10"/>
        <v>-2.6525949612684587</v>
      </c>
      <c r="J72">
        <f t="shared" si="11"/>
        <v>45.970596439323373</v>
      </c>
    </row>
    <row r="73" spans="4:10" x14ac:dyDescent="0.3">
      <c r="D73">
        <v>71</v>
      </c>
      <c r="E73">
        <f t="shared" si="6"/>
        <v>23.535960108509563</v>
      </c>
      <c r="F73">
        <f t="shared" si="7"/>
        <v>0.98227954002642315</v>
      </c>
      <c r="G73">
        <f t="shared" si="8"/>
        <v>3.0761297609812003E-3</v>
      </c>
      <c r="H73">
        <f t="shared" si="9"/>
        <v>3.8082403581566089</v>
      </c>
      <c r="I73">
        <f t="shared" si="10"/>
        <v>-2.6204297641704484</v>
      </c>
      <c r="J73">
        <f t="shared" si="11"/>
        <v>46.205887233366475</v>
      </c>
    </row>
    <row r="74" spans="4:10" x14ac:dyDescent="0.3">
      <c r="D74">
        <v>72</v>
      </c>
      <c r="E74">
        <f t="shared" si="6"/>
        <v>24.51969751164382</v>
      </c>
      <c r="F74">
        <f t="shared" si="7"/>
        <v>0.98511795169024241</v>
      </c>
      <c r="G74">
        <f t="shared" si="8"/>
        <v>2.6121028506060464E-3</v>
      </c>
      <c r="H74">
        <f t="shared" si="9"/>
        <v>3.3488472771126139</v>
      </c>
      <c r="I74">
        <f t="shared" si="10"/>
        <v>-2.5912625740535162</v>
      </c>
      <c r="J74">
        <f t="shared" si="11"/>
        <v>46.40879501005363</v>
      </c>
    </row>
    <row r="75" spans="4:10" x14ac:dyDescent="0.3">
      <c r="D75">
        <v>73</v>
      </c>
      <c r="E75">
        <f t="shared" si="6"/>
        <v>25.506052380247397</v>
      </c>
      <c r="F75">
        <f t="shared" si="7"/>
        <v>0.98752519976548314</v>
      </c>
      <c r="G75">
        <f t="shared" si="8"/>
        <v>2.212459419017444E-3</v>
      </c>
      <c r="H75">
        <f t="shared" si="9"/>
        <v>2.936001626641644</v>
      </c>
      <c r="I75">
        <f t="shared" si="10"/>
        <v>-2.5649682850105231</v>
      </c>
      <c r="J75">
        <f t="shared" si="11"/>
        <v>46.583287202632874</v>
      </c>
    </row>
    <row r="76" spans="4:10" x14ac:dyDescent="0.3">
      <c r="D76">
        <v>74</v>
      </c>
      <c r="E76">
        <f t="shared" si="6"/>
        <v>26.494624426407633</v>
      </c>
      <c r="F76">
        <f t="shared" si="7"/>
        <v>0.98956174680035192</v>
      </c>
      <c r="G76">
        <f t="shared" si="8"/>
        <v>1.8694671225461354E-3</v>
      </c>
      <c r="H76">
        <f t="shared" si="9"/>
        <v>2.5666754645494048</v>
      </c>
      <c r="I76">
        <f t="shared" si="10"/>
        <v>-2.5413912811021735</v>
      </c>
      <c r="J76">
        <f t="shared" si="11"/>
        <v>46.732944836818412</v>
      </c>
    </row>
    <row r="77" spans="4:10" x14ac:dyDescent="0.3">
      <c r="D77">
        <v>75</v>
      </c>
      <c r="E77">
        <f t="shared" si="6"/>
        <v>27.485070068999597</v>
      </c>
      <c r="F77">
        <f t="shared" si="7"/>
        <v>0.99128065498736573</v>
      </c>
      <c r="G77">
        <f t="shared" si="8"/>
        <v>1.5760601891971983E-3</v>
      </c>
      <c r="H77">
        <f t="shared" si="9"/>
        <v>2.2376893013240364</v>
      </c>
      <c r="I77">
        <f t="shared" si="10"/>
        <v>-2.5203557240373264</v>
      </c>
      <c r="J77">
        <f t="shared" si="11"/>
        <v>46.86097905505283</v>
      </c>
    </row>
    <row r="78" spans="4:10" x14ac:dyDescent="0.3">
      <c r="D78">
        <v>76</v>
      </c>
      <c r="E78">
        <f t="shared" si="6"/>
        <v>28.477095368235055</v>
      </c>
      <c r="F78">
        <f t="shared" si="7"/>
        <v>0.99272825664968067</v>
      </c>
      <c r="G78">
        <f t="shared" si="8"/>
        <v>1.3258435859076307E-3</v>
      </c>
      <c r="H78">
        <f t="shared" si="9"/>
        <v>1.9458085196778176</v>
      </c>
      <c r="I78">
        <f t="shared" si="10"/>
        <v>-2.5016740579010834</v>
      </c>
      <c r="J78">
        <f t="shared" si="11"/>
        <v>46.970252137140676</v>
      </c>
    </row>
    <row r="79" spans="4:10" x14ac:dyDescent="0.3">
      <c r="D79">
        <v>77</v>
      </c>
      <c r="E79">
        <f t="shared" si="6"/>
        <v>29.470449629371231</v>
      </c>
      <c r="F79">
        <f t="shared" si="7"/>
        <v>0.99394481891063657</v>
      </c>
      <c r="G79">
        <f t="shared" si="8"/>
        <v>1.1130781867014204E-3</v>
      </c>
      <c r="H79">
        <f t="shared" si="9"/>
        <v>1.6878207148288515</v>
      </c>
      <c r="I79">
        <f t="shared" si="10"/>
        <v>-2.4851538827164434</v>
      </c>
      <c r="J79">
        <f t="shared" si="11"/>
        <v>47.063301426747785</v>
      </c>
    </row>
    <row r="80" spans="4:10" x14ac:dyDescent="0.3">
      <c r="D80">
        <v>78</v>
      </c>
      <c r="E80">
        <f t="shared" si="6"/>
        <v>30.464919661191175</v>
      </c>
      <c r="F80">
        <f t="shared" si="7"/>
        <v>0.99496518629108799</v>
      </c>
      <c r="G80">
        <f t="shared" si="8"/>
        <v>9.3265226766561934E-4</v>
      </c>
      <c r="H80">
        <f t="shared" si="9"/>
        <v>1.4605959268555218</v>
      </c>
      <c r="I80">
        <f t="shared" si="10"/>
        <v>-2.4706033714052369</v>
      </c>
      <c r="J80">
        <f t="shared" si="11"/>
        <v>47.142364869513685</v>
      </c>
    </row>
    <row r="81" spans="4:10" x14ac:dyDescent="0.3">
      <c r="D81">
        <v>79</v>
      </c>
      <c r="E81">
        <f t="shared" si="6"/>
        <v>31.460324661116225</v>
      </c>
      <c r="F81">
        <f t="shared" si="7"/>
        <v>0.99581938983156515</v>
      </c>
      <c r="G81">
        <f t="shared" si="8"/>
        <v>7.800437195374663E-4</v>
      </c>
      <c r="H81">
        <f t="shared" si="9"/>
        <v>1.2611318695060847</v>
      </c>
      <c r="I81">
        <f t="shared" si="10"/>
        <v>-2.4578354138515381</v>
      </c>
      <c r="J81">
        <f t="shared" si="11"/>
        <v>47.209407135577429</v>
      </c>
    </row>
    <row r="82" spans="4:10" x14ac:dyDescent="0.3">
      <c r="D82">
        <v>80</v>
      </c>
      <c r="E82">
        <f t="shared" si="6"/>
        <v>32.456511689457507</v>
      </c>
      <c r="F82">
        <f t="shared" si="7"/>
        <v>0.9965332152929931</v>
      </c>
      <c r="G82">
        <f t="shared" si="8"/>
        <v>6.5127651583848358E-4</v>
      </c>
      <c r="H82">
        <f t="shared" si="9"/>
        <v>1.0865862719548487</v>
      </c>
      <c r="I82">
        <f t="shared" si="10"/>
        <v>-2.446670670726423</v>
      </c>
      <c r="J82">
        <f t="shared" si="11"/>
        <v>47.266145533981948</v>
      </c>
    </row>
    <row r="83" spans="4:10" x14ac:dyDescent="0.3">
      <c r="D83">
        <v>81</v>
      </c>
      <c r="E83">
        <f t="shared" si="6"/>
        <v>33.453351689506206</v>
      </c>
      <c r="F83">
        <f t="shared" si="7"/>
        <v>0.99712872614157066</v>
      </c>
      <c r="G83">
        <f t="shared" si="8"/>
        <v>5.4287421937633615E-4</v>
      </c>
      <c r="H83">
        <f t="shared" si="9"/>
        <v>0.93429837400378024</v>
      </c>
      <c r="I83">
        <f t="shared" si="10"/>
        <v>-2.4369397114646136</v>
      </c>
      <c r="J83">
        <f t="shared" si="11"/>
        <v>47.314075127961019</v>
      </c>
    </row>
    <row r="84" spans="4:10" x14ac:dyDescent="0.3">
      <c r="D84">
        <v>82</v>
      </c>
      <c r="E84">
        <f t="shared" si="6"/>
        <v>34.450736007146155</v>
      </c>
      <c r="F84">
        <f t="shared" si="7"/>
        <v>0.99762473947167685</v>
      </c>
      <c r="G84">
        <f t="shared" si="8"/>
        <v>4.5181265807618448E-4</v>
      </c>
      <c r="H84">
        <f t="shared" si="9"/>
        <v>0.80180147888424214</v>
      </c>
      <c r="I84">
        <f t="shared" si="10"/>
        <v>-2.4284843977346524</v>
      </c>
      <c r="J84">
        <f t="shared" si="11"/>
        <v>47.354492629531343</v>
      </c>
    </row>
    <row r="85" spans="4:10" x14ac:dyDescent="0.3">
      <c r="D85">
        <v>83</v>
      </c>
      <c r="E85">
        <f t="shared" si="6"/>
        <v>35.448573362795948</v>
      </c>
      <c r="F85">
        <f t="shared" si="7"/>
        <v>0.99803725486830674</v>
      </c>
      <c r="G85">
        <f t="shared" si="8"/>
        <v>3.7547335102230668E-4</v>
      </c>
      <c r="H85">
        <f t="shared" si="9"/>
        <v>0.68682829379562549</v>
      </c>
      <c r="I85">
        <f t="shared" si="10"/>
        <v>-2.4211586578675295</v>
      </c>
      <c r="J85">
        <f t="shared" si="11"/>
        <v>47.388518791273519</v>
      </c>
    </row>
    <row r="86" spans="4:10" x14ac:dyDescent="0.3">
      <c r="D86">
        <v>84</v>
      </c>
      <c r="E86">
        <f t="shared" si="6"/>
        <v>36.446787229200076</v>
      </c>
      <c r="F86">
        <f t="shared" si="7"/>
        <v>0.99837983755658688</v>
      </c>
      <c r="G86">
        <f t="shared" si="8"/>
        <v>3.1159881118626221E-4</v>
      </c>
      <c r="H86">
        <f t="shared" si="9"/>
        <v>0.58731059454538104</v>
      </c>
      <c r="I86">
        <f t="shared" si="10"/>
        <v>-2.4148287805122663</v>
      </c>
      <c r="J86">
        <f t="shared" si="11"/>
        <v>47.417119125553221</v>
      </c>
    </row>
    <row r="87" spans="4:10" x14ac:dyDescent="0.3">
      <c r="D87">
        <v>85</v>
      </c>
      <c r="E87">
        <f t="shared" si="6"/>
        <v>37.445313570434919</v>
      </c>
      <c r="F87">
        <f t="shared" si="7"/>
        <v>0.99866395812177255</v>
      </c>
      <c r="G87">
        <f t="shared" si="8"/>
        <v>2.5825048371009391E-4</v>
      </c>
      <c r="H87">
        <f t="shared" si="9"/>
        <v>0.50137455078506221</v>
      </c>
      <c r="I87">
        <f t="shared" si="10"/>
        <v>-2.4093733383918954</v>
      </c>
      <c r="J87">
        <f t="shared" si="11"/>
        <v>47.441122869915745</v>
      </c>
    </row>
    <row r="88" spans="4:10" x14ac:dyDescent="0.3">
      <c r="D88">
        <v>86</v>
      </c>
      <c r="E88">
        <f t="shared" si="6"/>
        <v>38.444098900106354</v>
      </c>
      <c r="F88">
        <f t="shared" si="7"/>
        <v>0.99889929169052594</v>
      </c>
      <c r="G88">
        <f t="shared" si="8"/>
        <v>2.1376978752645569E-4</v>
      </c>
      <c r="H88">
        <f t="shared" si="9"/>
        <v>0.4273328523470194</v>
      </c>
      <c r="I88">
        <f t="shared" si="10"/>
        <v>-2.4046828362348576</v>
      </c>
      <c r="J88">
        <f t="shared" si="11"/>
        <v>47.461240185278882</v>
      </c>
    </row>
    <row r="89" spans="4:10" x14ac:dyDescent="0.3">
      <c r="D89">
        <v>87</v>
      </c>
      <c r="E89">
        <f t="shared" si="6"/>
        <v>39.443098619800622</v>
      </c>
      <c r="F89">
        <f t="shared" si="7"/>
        <v>0.99909397981438564</v>
      </c>
      <c r="G89">
        <f t="shared" si="8"/>
        <v>1.7674250285578465E-4</v>
      </c>
      <c r="H89">
        <f t="shared" si="9"/>
        <v>0.36367459198094693</v>
      </c>
      <c r="I89">
        <f t="shared" si="10"/>
        <v>-2.4006591612848545</v>
      </c>
      <c r="J89">
        <f t="shared" si="11"/>
        <v>47.478077624050925</v>
      </c>
    </row>
    <row r="90" spans="4:10" x14ac:dyDescent="0.3">
      <c r="D90">
        <v>88</v>
      </c>
      <c r="E90">
        <f t="shared" si="6"/>
        <v>40.4422756021821</v>
      </c>
      <c r="F90">
        <f t="shared" si="7"/>
        <v>0.99925485844978046</v>
      </c>
      <c r="G90">
        <f t="shared" si="8"/>
        <v>1.4596657732853183E-4</v>
      </c>
      <c r="H90">
        <f t="shared" si="9"/>
        <v>0.30905368978672981</v>
      </c>
      <c r="I90">
        <f t="shared" si="10"/>
        <v>-2.3972149005665724</v>
      </c>
      <c r="J90">
        <f t="shared" si="11"/>
        <v>47.492151941398582</v>
      </c>
    </row>
    <row r="91" spans="4:10" x14ac:dyDescent="0.3">
      <c r="D91">
        <v>89</v>
      </c>
      <c r="E91">
        <f t="shared" si="6"/>
        <v>41.441598986539169</v>
      </c>
      <c r="F91">
        <f t="shared" si="7"/>
        <v>0.99938765543624253</v>
      </c>
      <c r="G91">
        <f t="shared" si="8"/>
        <v>1.2042329945911027E-4</v>
      </c>
      <c r="H91">
        <f t="shared" si="9"/>
        <v>0.26227649230635858</v>
      </c>
      <c r="I91">
        <f t="shared" si="10"/>
        <v>-2.3942725764646333</v>
      </c>
      <c r="J91">
        <f t="shared" si="11"/>
        <v>47.50390234728642</v>
      </c>
    </row>
    <row r="92" spans="4:10" x14ac:dyDescent="0.3">
      <c r="D92">
        <v>90</v>
      </c>
      <c r="E92">
        <f t="shared" si="6"/>
        <v>42.441043157940506</v>
      </c>
      <c r="F92">
        <f t="shared" si="7"/>
        <v>0.9994971607769646</v>
      </c>
      <c r="G92">
        <f t="shared" si="8"/>
        <v>9.9251701234809534E-5</v>
      </c>
      <c r="H92">
        <f t="shared" si="9"/>
        <v>0.22228904555943546</v>
      </c>
      <c r="I92">
        <f t="shared" si="10"/>
        <v>-2.3917638411993543</v>
      </c>
      <c r="J92">
        <f t="shared" si="11"/>
        <v>47.513701311986303</v>
      </c>
    </row>
    <row r="93" spans="4:10" x14ac:dyDescent="0.3">
      <c r="D93">
        <v>91</v>
      </c>
      <c r="E93">
        <f t="shared" si="6"/>
        <v>43.440586884387756</v>
      </c>
      <c r="F93">
        <f t="shared" si="7"/>
        <v>0.9995873728566792</v>
      </c>
      <c r="G93">
        <f t="shared" si="8"/>
        <v>8.1725994044327653E-5</v>
      </c>
      <c r="H93">
        <f t="shared" si="9"/>
        <v>0.18816442619075938</v>
      </c>
      <c r="I93">
        <f t="shared" si="10"/>
        <v>-2.3896286614121243</v>
      </c>
      <c r="J93">
        <f t="shared" si="11"/>
        <v>47.521864045570055</v>
      </c>
    </row>
    <row r="94" spans="4:10" x14ac:dyDescent="0.3">
      <c r="D94">
        <v>92</v>
      </c>
      <c r="E94">
        <f t="shared" si="6"/>
        <v>44.440212589381055</v>
      </c>
      <c r="F94">
        <f t="shared" si="7"/>
        <v>0.99966162351707299</v>
      </c>
      <c r="G94">
        <f t="shared" si="8"/>
        <v>6.7235807521088764E-5</v>
      </c>
      <c r="H94">
        <f t="shared" si="9"/>
        <v>0.15909041750143524</v>
      </c>
      <c r="I94">
        <f t="shared" si="10"/>
        <v>-2.3878145162066531</v>
      </c>
      <c r="J94">
        <f t="shared" si="11"/>
        <v>47.528656774189663</v>
      </c>
    </row>
    <row r="95" spans="4:10" x14ac:dyDescent="0.3">
      <c r="D95">
        <v>93</v>
      </c>
      <c r="E95">
        <f t="shared" si="6"/>
        <v>45.439905740116018</v>
      </c>
      <c r="F95">
        <f t="shared" si="7"/>
        <v>0.99972268466965442</v>
      </c>
      <c r="G95">
        <f t="shared" si="8"/>
        <v>5.5268983633337366E-5</v>
      </c>
      <c r="H95">
        <f t="shared" si="9"/>
        <v>0.1343577361289619</v>
      </c>
      <c r="I95">
        <f t="shared" si="10"/>
        <v>-2.3862756254969866</v>
      </c>
      <c r="J95">
        <f t="shared" si="11"/>
        <v>47.534303934161841</v>
      </c>
    </row>
    <row r="96" spans="4:10" x14ac:dyDescent="0.3">
      <c r="D96">
        <v>94</v>
      </c>
      <c r="E96">
        <f t="shared" si="6"/>
        <v>46.439654334084821</v>
      </c>
      <c r="F96">
        <f t="shared" si="7"/>
        <v>0.99977285887523992</v>
      </c>
      <c r="G96">
        <f t="shared" si="8"/>
        <v>4.5396674001599077E-5</v>
      </c>
      <c r="H96">
        <f t="shared" si="9"/>
        <v>0.11334894891918207</v>
      </c>
      <c r="I96">
        <f t="shared" si="10"/>
        <v>-2.3849722202389492</v>
      </c>
      <c r="J96">
        <f t="shared" si="11"/>
        <v>47.538994400187732</v>
      </c>
    </row>
    <row r="97" spans="4:10" x14ac:dyDescent="0.3">
      <c r="D97">
        <v>95</v>
      </c>
      <c r="E97">
        <f t="shared" si="6"/>
        <v>47.439448469158201</v>
      </c>
      <c r="F97">
        <f t="shared" si="7"/>
        <v>0.99981405606901042</v>
      </c>
      <c r="G97">
        <f t="shared" si="8"/>
        <v>3.7260493313945953E-5</v>
      </c>
      <c r="H97">
        <f t="shared" si="9"/>
        <v>9.5528166362048042E-2</v>
      </c>
      <c r="I97">
        <f t="shared" si="10"/>
        <v>-2.3838698619130567</v>
      </c>
      <c r="J97">
        <f t="shared" si="11"/>
        <v>47.542886857397782</v>
      </c>
    </row>
    <row r="98" spans="4:10" x14ac:dyDescent="0.3">
      <c r="D98">
        <v>96</v>
      </c>
      <c r="E98">
        <f t="shared" si="6"/>
        <v>48.439279984282258</v>
      </c>
      <c r="F98">
        <f t="shared" si="7"/>
        <v>0.99984785836815071</v>
      </c>
      <c r="G98">
        <f t="shared" si="8"/>
        <v>3.0561492940953485E-5</v>
      </c>
      <c r="H98">
        <f t="shared" si="9"/>
        <v>8.0431557100321308E-2</v>
      </c>
      <c r="I98">
        <f t="shared" si="10"/>
        <v>-2.3829388153318871</v>
      </c>
      <c r="J98">
        <f t="shared" si="11"/>
        <v>47.54611441906021</v>
      </c>
    </row>
    <row r="99" spans="4:10" x14ac:dyDescent="0.3">
      <c r="D99">
        <v>97</v>
      </c>
      <c r="E99">
        <f t="shared" si="6"/>
        <v>49.439142159745089</v>
      </c>
      <c r="F99">
        <f t="shared" si="7"/>
        <v>0.99987557467058197</v>
      </c>
      <c r="G99">
        <f t="shared" si="8"/>
        <v>2.505073416477828E-5</v>
      </c>
      <c r="H99">
        <f t="shared" si="9"/>
        <v>6.7658695788407733E-2</v>
      </c>
      <c r="I99">
        <f t="shared" si="10"/>
        <v>-2.3821534763201964</v>
      </c>
      <c r="J99">
        <f t="shared" si="11"/>
        <v>47.548788583301359</v>
      </c>
    </row>
    <row r="100" spans="4:10" x14ac:dyDescent="0.3">
      <c r="D100">
        <v>98</v>
      </c>
      <c r="E100">
        <f t="shared" si="6"/>
        <v>50.439029467569668</v>
      </c>
      <c r="F100">
        <f t="shared" si="7"/>
        <v>0.999898286541408</v>
      </c>
      <c r="G100">
        <f t="shared" si="8"/>
        <v>2.052125810339629E-5</v>
      </c>
      <c r="H100">
        <f t="shared" si="9"/>
        <v>5.6864732417511339E-2</v>
      </c>
      <c r="I100">
        <f t="shared" si="10"/>
        <v>-2.3814918539309162</v>
      </c>
      <c r="J100">
        <f t="shared" si="11"/>
        <v>47.551002613488322</v>
      </c>
    </row>
    <row r="101" spans="4:10" x14ac:dyDescent="0.3">
      <c r="D101">
        <v>99</v>
      </c>
      <c r="E101">
        <f t="shared" si="6"/>
        <v>51.43893736398752</v>
      </c>
      <c r="F101">
        <f t="shared" si="7"/>
        <v>0.99991688669009959</v>
      </c>
      <c r="G101">
        <f t="shared" si="8"/>
        <v>1.6801268142350206E-5</v>
      </c>
      <c r="H101">
        <f t="shared" si="9"/>
        <v>4.7753353719811653E-2</v>
      </c>
      <c r="I101">
        <f t="shared" si="10"/>
        <v>-2.3809351054978802</v>
      </c>
      <c r="J101">
        <f t="shared" si="11"/>
        <v>47.552834418332338</v>
      </c>
    </row>
    <row r="102" spans="4:10" x14ac:dyDescent="0.3">
      <c r="D102">
        <v>100</v>
      </c>
      <c r="E102">
        <f t="shared" si="6"/>
        <v>52.438862117161854</v>
      </c>
      <c r="F102">
        <f t="shared" si="7"/>
        <v>0.99993211116670055</v>
      </c>
      <c r="G102">
        <f t="shared" si="8"/>
        <v>1.3748359545980211E-5</v>
      </c>
      <c r="H102">
        <f t="shared" si="9"/>
        <v>4.007049516568241E-2</v>
      </c>
      <c r="I102">
        <f t="shared" si="10"/>
        <v>-2.3804671218846059</v>
      </c>
      <c r="J102">
        <f t="shared" si="11"/>
        <v>47.5543489995082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251"/>
  <sheetViews>
    <sheetView workbookViewId="0">
      <selection activeCell="A15" sqref="A15"/>
    </sheetView>
  </sheetViews>
  <sheetFormatPr defaultRowHeight="14.4" x14ac:dyDescent="0.3"/>
  <cols>
    <col min="1" max="1" width="24.88671875" bestFit="1" customWidth="1"/>
  </cols>
  <sheetData>
    <row r="1" spans="1:4" x14ac:dyDescent="0.3">
      <c r="A1" t="s">
        <v>15</v>
      </c>
      <c r="D1" t="s">
        <v>9</v>
      </c>
    </row>
    <row r="2" spans="1:4" x14ac:dyDescent="0.3">
      <c r="D2">
        <v>50.991967183550443</v>
      </c>
    </row>
    <row r="3" spans="1:4" x14ac:dyDescent="0.3">
      <c r="A3" t="s">
        <v>1</v>
      </c>
      <c r="B3">
        <v>50</v>
      </c>
      <c r="D3">
        <v>51.169129667390422</v>
      </c>
    </row>
    <row r="4" spans="1:4" x14ac:dyDescent="0.3">
      <c r="A4" t="s">
        <v>2</v>
      </c>
      <c r="B4" s="1">
        <v>0.05</v>
      </c>
      <c r="D4">
        <v>50.412719991156514</v>
      </c>
    </row>
    <row r="5" spans="1:4" x14ac:dyDescent="0.3">
      <c r="A5" t="s">
        <v>3</v>
      </c>
      <c r="B5" s="1">
        <v>0.2</v>
      </c>
      <c r="D5">
        <v>51.381096397263263</v>
      </c>
    </row>
    <row r="6" spans="1:4" x14ac:dyDescent="0.3">
      <c r="A6" t="s">
        <v>4</v>
      </c>
      <c r="B6">
        <v>1</v>
      </c>
      <c r="D6">
        <v>51.430187361528496</v>
      </c>
    </row>
    <row r="7" spans="1:4" x14ac:dyDescent="0.3">
      <c r="A7" t="s">
        <v>5</v>
      </c>
      <c r="B7">
        <v>250</v>
      </c>
      <c r="D7">
        <v>51.798990565636146</v>
      </c>
    </row>
    <row r="8" spans="1:4" x14ac:dyDescent="0.3">
      <c r="A8" t="s">
        <v>14</v>
      </c>
      <c r="B8">
        <v>3</v>
      </c>
      <c r="D8">
        <v>51.691191222264365</v>
      </c>
    </row>
    <row r="9" spans="1:4" x14ac:dyDescent="0.3">
      <c r="A9" t="s">
        <v>6</v>
      </c>
      <c r="B9">
        <v>0</v>
      </c>
      <c r="D9">
        <v>52.851173268236202</v>
      </c>
    </row>
    <row r="10" spans="1:4" x14ac:dyDescent="0.3">
      <c r="A10" t="s">
        <v>7</v>
      </c>
      <c r="B10">
        <v>0.2</v>
      </c>
      <c r="D10">
        <v>53.100229431410519</v>
      </c>
    </row>
    <row r="11" spans="1:4" x14ac:dyDescent="0.3">
      <c r="D11">
        <v>53.268405409407407</v>
      </c>
    </row>
    <row r="12" spans="1:4" x14ac:dyDescent="0.3">
      <c r="A12" t="s">
        <v>16</v>
      </c>
      <c r="B12">
        <v>5000</v>
      </c>
      <c r="D12">
        <v>51.998367217893112</v>
      </c>
    </row>
    <row r="13" spans="1:4" x14ac:dyDescent="0.3">
      <c r="D13">
        <v>51.040260090124661</v>
      </c>
    </row>
    <row r="14" spans="1:4" x14ac:dyDescent="0.3">
      <c r="A14" t="s">
        <v>17</v>
      </c>
      <c r="B14">
        <v>50</v>
      </c>
      <c r="D14">
        <v>50.679743429318016</v>
      </c>
    </row>
    <row r="15" spans="1:4" x14ac:dyDescent="0.3">
      <c r="A15" t="s">
        <v>34</v>
      </c>
      <c r="B15">
        <v>1</v>
      </c>
      <c r="D15">
        <v>50.278540339571173</v>
      </c>
    </row>
    <row r="16" spans="1:4" x14ac:dyDescent="0.3">
      <c r="D16">
        <v>51.325859912142406</v>
      </c>
    </row>
    <row r="17" spans="1:4" x14ac:dyDescent="0.3">
      <c r="D17">
        <v>51.527932695312593</v>
      </c>
    </row>
    <row r="18" spans="1:4" x14ac:dyDescent="0.3">
      <c r="D18">
        <v>51.801701633704972</v>
      </c>
    </row>
    <row r="19" spans="1:4" x14ac:dyDescent="0.3">
      <c r="A19" t="s">
        <v>10</v>
      </c>
      <c r="B19">
        <v>3.9285511354623305E-2</v>
      </c>
      <c r="C19">
        <f>B19-0.03</f>
        <v>9.2855113546233062E-3</v>
      </c>
      <c r="D19">
        <v>51.879567812844101</v>
      </c>
    </row>
    <row r="20" spans="1:4" x14ac:dyDescent="0.3">
      <c r="A20" t="s">
        <v>13</v>
      </c>
      <c r="B20">
        <v>0.40364778749594771</v>
      </c>
      <c r="C20">
        <f>B20-0.2</f>
        <v>0.2036477874959477</v>
      </c>
      <c r="D20">
        <v>52.199197312969915</v>
      </c>
    </row>
    <row r="21" spans="1:4" x14ac:dyDescent="0.3">
      <c r="A21" t="s">
        <v>11</v>
      </c>
      <c r="B21">
        <v>4.3007659093488651E-2</v>
      </c>
      <c r="C21">
        <f>B21-0</f>
        <v>4.3007659093488651E-2</v>
      </c>
      <c r="D21">
        <v>51.063850877575724</v>
      </c>
    </row>
    <row r="22" spans="1:4" x14ac:dyDescent="0.3">
      <c r="A22" t="s">
        <v>12</v>
      </c>
      <c r="B22">
        <v>3.4250817690781479</v>
      </c>
      <c r="C22">
        <f>B22-3</f>
        <v>0.42508176907814788</v>
      </c>
      <c r="D22">
        <v>51.357925903749383</v>
      </c>
    </row>
    <row r="23" spans="1:4" x14ac:dyDescent="0.3">
      <c r="D23">
        <v>51.530303304470486</v>
      </c>
    </row>
    <row r="24" spans="1:4" x14ac:dyDescent="0.3">
      <c r="A24" t="s">
        <v>18</v>
      </c>
      <c r="B24">
        <v>12.007444236475898</v>
      </c>
      <c r="D24">
        <v>51.842489452099954</v>
      </c>
    </row>
    <row r="25" spans="1:4" x14ac:dyDescent="0.3">
      <c r="D25">
        <v>51.591898565572535</v>
      </c>
    </row>
    <row r="26" spans="1:4" x14ac:dyDescent="0.3">
      <c r="D26">
        <v>51.48732725388502</v>
      </c>
    </row>
    <row r="27" spans="1:4" x14ac:dyDescent="0.3">
      <c r="D27">
        <v>51.366248222455141</v>
      </c>
    </row>
    <row r="28" spans="1:4" x14ac:dyDescent="0.3">
      <c r="D28">
        <v>52.016547927356598</v>
      </c>
    </row>
    <row r="29" spans="1:4" x14ac:dyDescent="0.3">
      <c r="D29">
        <v>52.24154759101998</v>
      </c>
    </row>
    <row r="30" spans="1:4" x14ac:dyDescent="0.3">
      <c r="D30">
        <v>52.705080802597443</v>
      </c>
    </row>
    <row r="31" spans="1:4" x14ac:dyDescent="0.3">
      <c r="D31">
        <v>52.410394348228131</v>
      </c>
    </row>
    <row r="32" spans="1:4" x14ac:dyDescent="0.3">
      <c r="D32">
        <v>50.838749796288077</v>
      </c>
    </row>
    <row r="33" spans="4:4" x14ac:dyDescent="0.3">
      <c r="D33">
        <v>50.936464089269535</v>
      </c>
    </row>
    <row r="34" spans="4:4" x14ac:dyDescent="0.3">
      <c r="D34">
        <v>51.19809505592702</v>
      </c>
    </row>
    <row r="35" spans="4:4" x14ac:dyDescent="0.3">
      <c r="D35">
        <v>51.130334833743731</v>
      </c>
    </row>
    <row r="36" spans="4:4" x14ac:dyDescent="0.3">
      <c r="D36">
        <v>51.129440757715663</v>
      </c>
    </row>
    <row r="37" spans="4:4" x14ac:dyDescent="0.3">
      <c r="D37">
        <v>51.881251354091425</v>
      </c>
    </row>
    <row r="38" spans="4:4" x14ac:dyDescent="0.3">
      <c r="D38">
        <v>52.570688015778288</v>
      </c>
    </row>
    <row r="39" spans="4:4" x14ac:dyDescent="0.3">
      <c r="D39">
        <v>52.196950102325438</v>
      </c>
    </row>
    <row r="40" spans="4:4" x14ac:dyDescent="0.3">
      <c r="D40">
        <v>52.302152163752901</v>
      </c>
    </row>
    <row r="41" spans="4:4" x14ac:dyDescent="0.3">
      <c r="D41">
        <v>53.187958381336969</v>
      </c>
    </row>
    <row r="42" spans="4:4" x14ac:dyDescent="0.3">
      <c r="D42">
        <v>52.771387095177758</v>
      </c>
    </row>
    <row r="43" spans="4:4" x14ac:dyDescent="0.3">
      <c r="D43">
        <v>51.973642692220871</v>
      </c>
    </row>
    <row r="44" spans="4:4" x14ac:dyDescent="0.3">
      <c r="D44">
        <v>52.872071561073597</v>
      </c>
    </row>
    <row r="45" spans="4:4" x14ac:dyDescent="0.3">
      <c r="D45">
        <v>51.831220440289158</v>
      </c>
    </row>
    <row r="46" spans="4:4" x14ac:dyDescent="0.3">
      <c r="D46">
        <v>51.874978197424987</v>
      </c>
    </row>
    <row r="47" spans="4:4" x14ac:dyDescent="0.3">
      <c r="D47">
        <v>52.000084920525595</v>
      </c>
    </row>
    <row r="48" spans="4:4" x14ac:dyDescent="0.3">
      <c r="D48">
        <v>51.487517957331654</v>
      </c>
    </row>
    <row r="49" spans="4:4" x14ac:dyDescent="0.3">
      <c r="D49">
        <v>51.165460093161414</v>
      </c>
    </row>
    <row r="50" spans="4:4" x14ac:dyDescent="0.3">
      <c r="D50">
        <v>51.097796522443019</v>
      </c>
    </row>
    <row r="51" spans="4:4" x14ac:dyDescent="0.3">
      <c r="D51">
        <v>50.346054118545084</v>
      </c>
    </row>
    <row r="52" spans="4:4" x14ac:dyDescent="0.3">
      <c r="D52">
        <v>50.492138382196927</v>
      </c>
    </row>
    <row r="53" spans="4:4" x14ac:dyDescent="0.3">
      <c r="D53">
        <v>50.861276833156097</v>
      </c>
    </row>
    <row r="54" spans="4:4" x14ac:dyDescent="0.3">
      <c r="D54">
        <v>51.015665366570438</v>
      </c>
    </row>
    <row r="55" spans="4:4" x14ac:dyDescent="0.3">
      <c r="D55">
        <v>51.084976563843448</v>
      </c>
    </row>
    <row r="56" spans="4:4" x14ac:dyDescent="0.3">
      <c r="D56">
        <v>50.270490904302598</v>
      </c>
    </row>
    <row r="57" spans="4:4" x14ac:dyDescent="0.3">
      <c r="D57">
        <v>51.1679170370899</v>
      </c>
    </row>
    <row r="58" spans="4:4" x14ac:dyDescent="0.3">
      <c r="D58">
        <v>51.454152286986826</v>
      </c>
    </row>
    <row r="59" spans="4:4" x14ac:dyDescent="0.3">
      <c r="D59">
        <v>51.372354398203555</v>
      </c>
    </row>
    <row r="60" spans="4:4" x14ac:dyDescent="0.3">
      <c r="D60">
        <v>50.997274076133223</v>
      </c>
    </row>
    <row r="61" spans="4:4" x14ac:dyDescent="0.3">
      <c r="D61">
        <v>51.220596205150947</v>
      </c>
    </row>
    <row r="62" spans="4:4" x14ac:dyDescent="0.3">
      <c r="D62">
        <v>50.472385669393354</v>
      </c>
    </row>
    <row r="63" spans="4:4" x14ac:dyDescent="0.3">
      <c r="D63">
        <v>50.979015233721881</v>
      </c>
    </row>
    <row r="64" spans="4:4" x14ac:dyDescent="0.3">
      <c r="D64">
        <v>51.144039657537505</v>
      </c>
    </row>
    <row r="65" spans="4:4" x14ac:dyDescent="0.3">
      <c r="D65">
        <v>50.482899861034177</v>
      </c>
    </row>
    <row r="66" spans="4:4" x14ac:dyDescent="0.3">
      <c r="D66">
        <v>50.638665233830721</v>
      </c>
    </row>
    <row r="67" spans="4:4" x14ac:dyDescent="0.3">
      <c r="D67">
        <v>50.341380420137213</v>
      </c>
    </row>
    <row r="68" spans="4:4" x14ac:dyDescent="0.3">
      <c r="D68">
        <v>51.804476497575131</v>
      </c>
    </row>
    <row r="69" spans="4:4" x14ac:dyDescent="0.3">
      <c r="D69">
        <v>52.475881748314201</v>
      </c>
    </row>
    <row r="70" spans="4:4" x14ac:dyDescent="0.3">
      <c r="D70">
        <v>52.361016829111705</v>
      </c>
    </row>
    <row r="71" spans="4:4" x14ac:dyDescent="0.3">
      <c r="D71">
        <v>51.683959622193953</v>
      </c>
    </row>
    <row r="72" spans="4:4" x14ac:dyDescent="0.3">
      <c r="D72">
        <v>51.409849873221944</v>
      </c>
    </row>
    <row r="73" spans="4:4" x14ac:dyDescent="0.3">
      <c r="D73">
        <v>51.689688742040325</v>
      </c>
    </row>
    <row r="74" spans="4:4" x14ac:dyDescent="0.3">
      <c r="D74">
        <v>51.08259679817651</v>
      </c>
    </row>
    <row r="75" spans="4:4" x14ac:dyDescent="0.3">
      <c r="D75">
        <v>50.55912005288986</v>
      </c>
    </row>
    <row r="76" spans="4:4" x14ac:dyDescent="0.3">
      <c r="D76">
        <v>51.789057993984244</v>
      </c>
    </row>
    <row r="77" spans="4:4" x14ac:dyDescent="0.3">
      <c r="D77">
        <v>52.022145198948159</v>
      </c>
    </row>
    <row r="78" spans="4:4" x14ac:dyDescent="0.3">
      <c r="D78">
        <v>51.105902579489715</v>
      </c>
    </row>
    <row r="79" spans="4:4" x14ac:dyDescent="0.3">
      <c r="D79">
        <v>51.526141691343561</v>
      </c>
    </row>
    <row r="80" spans="4:4" x14ac:dyDescent="0.3">
      <c r="D80">
        <v>50.959868779284726</v>
      </c>
    </row>
    <row r="81" spans="4:4" x14ac:dyDescent="0.3">
      <c r="D81">
        <v>50.747207503313611</v>
      </c>
    </row>
    <row r="82" spans="4:4" x14ac:dyDescent="0.3">
      <c r="D82">
        <v>50.914368330484869</v>
      </c>
    </row>
    <row r="83" spans="4:4" x14ac:dyDescent="0.3">
      <c r="D83">
        <v>51.543217126181432</v>
      </c>
    </row>
    <row r="84" spans="4:4" x14ac:dyDescent="0.3">
      <c r="D84">
        <v>51.950661600224841</v>
      </c>
    </row>
    <row r="85" spans="4:4" x14ac:dyDescent="0.3">
      <c r="D85">
        <v>52.026179298638553</v>
      </c>
    </row>
    <row r="86" spans="4:4" x14ac:dyDescent="0.3">
      <c r="D86">
        <v>52.846797895239277</v>
      </c>
    </row>
    <row r="87" spans="4:4" x14ac:dyDescent="0.3">
      <c r="D87">
        <v>53.701988577024331</v>
      </c>
    </row>
    <row r="88" spans="4:4" x14ac:dyDescent="0.3">
      <c r="D88">
        <v>53.335570674897873</v>
      </c>
    </row>
    <row r="89" spans="4:4" x14ac:dyDescent="0.3">
      <c r="D89">
        <v>53.21027277356</v>
      </c>
    </row>
    <row r="90" spans="4:4" x14ac:dyDescent="0.3">
      <c r="D90">
        <v>52.888656768323621</v>
      </c>
    </row>
    <row r="91" spans="4:4" x14ac:dyDescent="0.3">
      <c r="D91">
        <v>52.26080588996583</v>
      </c>
    </row>
    <row r="92" spans="4:4" x14ac:dyDescent="0.3">
      <c r="D92">
        <v>50.927178137443185</v>
      </c>
    </row>
    <row r="93" spans="4:4" x14ac:dyDescent="0.3">
      <c r="D93">
        <v>50.683843791049938</v>
      </c>
    </row>
    <row r="94" spans="4:4" x14ac:dyDescent="0.3">
      <c r="D94">
        <v>51.638748159211332</v>
      </c>
    </row>
    <row r="95" spans="4:4" x14ac:dyDescent="0.3">
      <c r="D95">
        <v>51.144607358155788</v>
      </c>
    </row>
    <row r="96" spans="4:4" x14ac:dyDescent="0.3">
      <c r="D96">
        <v>49.832496774743781</v>
      </c>
    </row>
    <row r="97" spans="4:4" x14ac:dyDescent="0.3">
      <c r="D97">
        <v>49.394592596708286</v>
      </c>
    </row>
    <row r="98" spans="4:4" x14ac:dyDescent="0.3">
      <c r="D98">
        <v>47.813604785720493</v>
      </c>
    </row>
    <row r="99" spans="4:4" x14ac:dyDescent="0.3">
      <c r="D99">
        <v>47.732634504810683</v>
      </c>
    </row>
    <row r="100" spans="4:4" x14ac:dyDescent="0.3">
      <c r="D100">
        <v>48.354041264506947</v>
      </c>
    </row>
    <row r="101" spans="4:4" x14ac:dyDescent="0.3">
      <c r="D101">
        <v>47.551508310580317</v>
      </c>
    </row>
    <row r="102" spans="4:4" x14ac:dyDescent="0.3">
      <c r="D102">
        <v>47.572941870258163</v>
      </c>
    </row>
    <row r="103" spans="4:4" x14ac:dyDescent="0.3">
      <c r="D103">
        <v>47.669418175543939</v>
      </c>
    </row>
    <row r="104" spans="4:4" x14ac:dyDescent="0.3">
      <c r="D104">
        <v>46.064264706104929</v>
      </c>
    </row>
    <row r="105" spans="4:4" x14ac:dyDescent="0.3">
      <c r="D105">
        <v>46.038471709006338</v>
      </c>
    </row>
    <row r="106" spans="4:4" x14ac:dyDescent="0.3">
      <c r="D106">
        <v>46.218531326730798</v>
      </c>
    </row>
    <row r="107" spans="4:4" x14ac:dyDescent="0.3">
      <c r="D107">
        <v>45.550183354188981</v>
      </c>
    </row>
    <row r="108" spans="4:4" x14ac:dyDescent="0.3">
      <c r="D108">
        <v>33.000872368370693</v>
      </c>
    </row>
    <row r="109" spans="4:4" x14ac:dyDescent="0.3">
      <c r="D109">
        <v>32.168906695992405</v>
      </c>
    </row>
    <row r="110" spans="4:4" x14ac:dyDescent="0.3">
      <c r="D110">
        <v>34.032738735422448</v>
      </c>
    </row>
    <row r="111" spans="4:4" x14ac:dyDescent="0.3">
      <c r="D111">
        <v>33.537168274387632</v>
      </c>
    </row>
    <row r="112" spans="4:4" x14ac:dyDescent="0.3">
      <c r="D112">
        <v>32.84759249399702</v>
      </c>
    </row>
    <row r="113" spans="4:4" x14ac:dyDescent="0.3">
      <c r="D113">
        <v>32.682673330011113</v>
      </c>
    </row>
    <row r="114" spans="4:4" x14ac:dyDescent="0.3">
      <c r="D114">
        <v>33.310030152987487</v>
      </c>
    </row>
    <row r="115" spans="4:4" x14ac:dyDescent="0.3">
      <c r="D115">
        <v>33.166094533558365</v>
      </c>
    </row>
    <row r="116" spans="4:4" x14ac:dyDescent="0.3">
      <c r="D116">
        <v>33.485431884775537</v>
      </c>
    </row>
    <row r="117" spans="4:4" x14ac:dyDescent="0.3">
      <c r="D117">
        <v>33.878391726865857</v>
      </c>
    </row>
    <row r="118" spans="4:4" x14ac:dyDescent="0.3">
      <c r="D118">
        <v>34.496436116813307</v>
      </c>
    </row>
    <row r="119" spans="4:4" x14ac:dyDescent="0.3">
      <c r="D119">
        <v>34.502824944645802</v>
      </c>
    </row>
    <row r="120" spans="4:4" x14ac:dyDescent="0.3">
      <c r="D120">
        <v>33.98024840586482</v>
      </c>
    </row>
    <row r="121" spans="4:4" x14ac:dyDescent="0.3">
      <c r="D121">
        <v>34.114963047517143</v>
      </c>
    </row>
    <row r="122" spans="4:4" x14ac:dyDescent="0.3">
      <c r="D122">
        <v>34.558708563258556</v>
      </c>
    </row>
    <row r="123" spans="4:4" x14ac:dyDescent="0.3">
      <c r="D123">
        <v>34.35145531454716</v>
      </c>
    </row>
    <row r="124" spans="4:4" x14ac:dyDescent="0.3">
      <c r="D124">
        <v>33.561158302227028</v>
      </c>
    </row>
    <row r="125" spans="4:4" x14ac:dyDescent="0.3">
      <c r="D125">
        <v>33.489671090886624</v>
      </c>
    </row>
    <row r="126" spans="4:4" x14ac:dyDescent="0.3">
      <c r="D126">
        <v>34.018804169815205</v>
      </c>
    </row>
    <row r="127" spans="4:4" x14ac:dyDescent="0.3">
      <c r="D127">
        <v>34.049717060280052</v>
      </c>
    </row>
    <row r="128" spans="4:4" x14ac:dyDescent="0.3">
      <c r="D128">
        <v>33.444844771128835</v>
      </c>
    </row>
    <row r="129" spans="4:4" x14ac:dyDescent="0.3">
      <c r="D129">
        <v>32.996649405610029</v>
      </c>
    </row>
    <row r="130" spans="4:4" x14ac:dyDescent="0.3">
      <c r="D130">
        <v>32.422576510207477</v>
      </c>
    </row>
    <row r="131" spans="4:4" x14ac:dyDescent="0.3">
      <c r="D131">
        <v>32.229808326330399</v>
      </c>
    </row>
    <row r="132" spans="4:4" x14ac:dyDescent="0.3">
      <c r="D132">
        <v>32.691521921670379</v>
      </c>
    </row>
    <row r="133" spans="4:4" x14ac:dyDescent="0.3">
      <c r="D133">
        <v>32.534507956488817</v>
      </c>
    </row>
    <row r="134" spans="4:4" x14ac:dyDescent="0.3">
      <c r="D134">
        <v>32.836017435186598</v>
      </c>
    </row>
    <row r="135" spans="4:4" x14ac:dyDescent="0.3">
      <c r="D135">
        <v>33.219929558819892</v>
      </c>
    </row>
    <row r="136" spans="4:4" x14ac:dyDescent="0.3">
      <c r="D136">
        <v>33.334985898335823</v>
      </c>
    </row>
    <row r="137" spans="4:4" x14ac:dyDescent="0.3">
      <c r="D137">
        <v>33.776310412550153</v>
      </c>
    </row>
    <row r="138" spans="4:4" x14ac:dyDescent="0.3">
      <c r="D138">
        <v>33.273057978394831</v>
      </c>
    </row>
    <row r="139" spans="4:4" x14ac:dyDescent="0.3">
      <c r="D139">
        <v>33.406728191359775</v>
      </c>
    </row>
    <row r="140" spans="4:4" x14ac:dyDescent="0.3">
      <c r="D140">
        <v>33.47902003830913</v>
      </c>
    </row>
    <row r="141" spans="4:4" x14ac:dyDescent="0.3">
      <c r="D141">
        <v>33.033132464897776</v>
      </c>
    </row>
    <row r="142" spans="4:4" x14ac:dyDescent="0.3">
      <c r="D142">
        <v>33.187761300614099</v>
      </c>
    </row>
    <row r="143" spans="4:4" x14ac:dyDescent="0.3">
      <c r="D143">
        <v>32.925003895894612</v>
      </c>
    </row>
    <row r="144" spans="4:4" x14ac:dyDescent="0.3">
      <c r="D144">
        <v>33.03867573222194</v>
      </c>
    </row>
    <row r="145" spans="4:4" x14ac:dyDescent="0.3">
      <c r="D145">
        <v>33.676380983059076</v>
      </c>
    </row>
    <row r="146" spans="4:4" x14ac:dyDescent="0.3">
      <c r="D146">
        <v>33.869204883775154</v>
      </c>
    </row>
    <row r="147" spans="4:4" x14ac:dyDescent="0.3">
      <c r="D147">
        <v>34.142309871051893</v>
      </c>
    </row>
    <row r="148" spans="4:4" x14ac:dyDescent="0.3">
      <c r="D148">
        <v>34.321415451439954</v>
      </c>
    </row>
    <row r="149" spans="4:4" x14ac:dyDescent="0.3">
      <c r="D149">
        <v>34.46800514434004</v>
      </c>
    </row>
    <row r="150" spans="4:4" x14ac:dyDescent="0.3">
      <c r="D150">
        <v>34.960941320912248</v>
      </c>
    </row>
    <row r="151" spans="4:4" x14ac:dyDescent="0.3">
      <c r="D151">
        <v>35.923371897937471</v>
      </c>
    </row>
    <row r="152" spans="4:4" x14ac:dyDescent="0.3">
      <c r="D152">
        <v>35.602328178221825</v>
      </c>
    </row>
    <row r="153" spans="4:4" x14ac:dyDescent="0.3">
      <c r="D153">
        <v>36.051704256671037</v>
      </c>
    </row>
    <row r="154" spans="4:4" x14ac:dyDescent="0.3">
      <c r="D154">
        <v>36.320941733483188</v>
      </c>
    </row>
    <row r="155" spans="4:4" x14ac:dyDescent="0.3">
      <c r="D155">
        <v>36.220169485412406</v>
      </c>
    </row>
    <row r="156" spans="4:4" x14ac:dyDescent="0.3">
      <c r="D156">
        <v>36.911434362730517</v>
      </c>
    </row>
    <row r="157" spans="4:4" x14ac:dyDescent="0.3">
      <c r="D157">
        <v>37.450928695540782</v>
      </c>
    </row>
    <row r="158" spans="4:4" x14ac:dyDescent="0.3">
      <c r="D158">
        <v>36.645292382437937</v>
      </c>
    </row>
    <row r="159" spans="4:4" x14ac:dyDescent="0.3">
      <c r="D159">
        <v>36.4878289156959</v>
      </c>
    </row>
    <row r="160" spans="4:4" x14ac:dyDescent="0.3">
      <c r="D160">
        <v>37.11954472070655</v>
      </c>
    </row>
    <row r="161" spans="4:4" x14ac:dyDescent="0.3">
      <c r="D161">
        <v>36.80948873409001</v>
      </c>
    </row>
    <row r="162" spans="4:4" x14ac:dyDescent="0.3">
      <c r="D162">
        <v>36.793067211908522</v>
      </c>
    </row>
    <row r="163" spans="4:4" x14ac:dyDescent="0.3">
      <c r="D163">
        <v>36.977702163269264</v>
      </c>
    </row>
    <row r="164" spans="4:4" x14ac:dyDescent="0.3">
      <c r="D164">
        <v>36.890379637273291</v>
      </c>
    </row>
    <row r="165" spans="4:4" x14ac:dyDescent="0.3">
      <c r="D165">
        <v>36.488925743372519</v>
      </c>
    </row>
    <row r="166" spans="4:4" x14ac:dyDescent="0.3">
      <c r="D166">
        <v>35.471883835510781</v>
      </c>
    </row>
    <row r="167" spans="4:4" x14ac:dyDescent="0.3">
      <c r="D167">
        <v>34.636343521395347</v>
      </c>
    </row>
    <row r="168" spans="4:4" x14ac:dyDescent="0.3">
      <c r="D168">
        <v>34.397744032292735</v>
      </c>
    </row>
    <row r="169" spans="4:4" x14ac:dyDescent="0.3">
      <c r="D169">
        <v>33.884990120588846</v>
      </c>
    </row>
    <row r="170" spans="4:4" x14ac:dyDescent="0.3">
      <c r="D170">
        <v>33.817862022785249</v>
      </c>
    </row>
    <row r="171" spans="4:4" x14ac:dyDescent="0.3">
      <c r="D171">
        <v>34.06068681443363</v>
      </c>
    </row>
    <row r="172" spans="4:4" x14ac:dyDescent="0.3">
      <c r="D172">
        <v>33.972194733204645</v>
      </c>
    </row>
    <row r="173" spans="4:4" x14ac:dyDescent="0.3">
      <c r="D173">
        <v>33.534472400127171</v>
      </c>
    </row>
    <row r="174" spans="4:4" x14ac:dyDescent="0.3">
      <c r="D174">
        <v>34.032709731561624</v>
      </c>
    </row>
    <row r="175" spans="4:4" x14ac:dyDescent="0.3">
      <c r="D175">
        <v>34.50584192243231</v>
      </c>
    </row>
    <row r="176" spans="4:4" x14ac:dyDescent="0.3">
      <c r="D176">
        <v>34.256799381472604</v>
      </c>
    </row>
    <row r="177" spans="4:4" x14ac:dyDescent="0.3">
      <c r="D177">
        <v>30.914948795708025</v>
      </c>
    </row>
    <row r="178" spans="4:4" x14ac:dyDescent="0.3">
      <c r="D178">
        <v>30.714545657329836</v>
      </c>
    </row>
    <row r="179" spans="4:4" x14ac:dyDescent="0.3">
      <c r="D179">
        <v>31.544263160367258</v>
      </c>
    </row>
    <row r="180" spans="4:4" x14ac:dyDescent="0.3">
      <c r="D180">
        <v>32.010595181536196</v>
      </c>
    </row>
    <row r="181" spans="4:4" x14ac:dyDescent="0.3">
      <c r="D181">
        <v>31.711416930365495</v>
      </c>
    </row>
    <row r="182" spans="4:4" x14ac:dyDescent="0.3">
      <c r="D182">
        <v>31.936322592494093</v>
      </c>
    </row>
    <row r="183" spans="4:4" x14ac:dyDescent="0.3">
      <c r="D183">
        <v>31.902124134572997</v>
      </c>
    </row>
    <row r="184" spans="4:4" x14ac:dyDescent="0.3">
      <c r="D184">
        <v>31.855290742940436</v>
      </c>
    </row>
    <row r="185" spans="4:4" x14ac:dyDescent="0.3">
      <c r="D185">
        <v>32.025036943454296</v>
      </c>
    </row>
    <row r="186" spans="4:4" x14ac:dyDescent="0.3">
      <c r="D186">
        <v>32.655102583315262</v>
      </c>
    </row>
    <row r="187" spans="4:4" x14ac:dyDescent="0.3">
      <c r="D187">
        <v>32.63936739546493</v>
      </c>
    </row>
    <row r="188" spans="4:4" x14ac:dyDescent="0.3">
      <c r="D188">
        <v>32.396307304128186</v>
      </c>
    </row>
    <row r="189" spans="4:4" x14ac:dyDescent="0.3">
      <c r="D189">
        <v>33.389736701375483</v>
      </c>
    </row>
    <row r="190" spans="4:4" x14ac:dyDescent="0.3">
      <c r="D190">
        <v>32.976529662951862</v>
      </c>
    </row>
    <row r="191" spans="4:4" x14ac:dyDescent="0.3">
      <c r="D191">
        <v>33.09341684886661</v>
      </c>
    </row>
    <row r="192" spans="4:4" x14ac:dyDescent="0.3">
      <c r="D192">
        <v>33.062744551741005</v>
      </c>
    </row>
    <row r="193" spans="4:4" x14ac:dyDescent="0.3">
      <c r="D193">
        <v>32.846457719193275</v>
      </c>
    </row>
    <row r="194" spans="4:4" x14ac:dyDescent="0.3">
      <c r="D194">
        <v>32.235546362736621</v>
      </c>
    </row>
    <row r="195" spans="4:4" x14ac:dyDescent="0.3">
      <c r="D195">
        <v>41.482748837138345</v>
      </c>
    </row>
    <row r="196" spans="4:4" x14ac:dyDescent="0.3">
      <c r="D196">
        <v>41.196023706030871</v>
      </c>
    </row>
    <row r="197" spans="4:4" x14ac:dyDescent="0.3">
      <c r="D197">
        <v>41.272561125478397</v>
      </c>
    </row>
    <row r="198" spans="4:4" x14ac:dyDescent="0.3">
      <c r="D198">
        <v>41.909824779886598</v>
      </c>
    </row>
    <row r="199" spans="4:4" x14ac:dyDescent="0.3">
      <c r="D199">
        <v>42.333077152871951</v>
      </c>
    </row>
    <row r="200" spans="4:4" x14ac:dyDescent="0.3">
      <c r="D200">
        <v>42.572835071370932</v>
      </c>
    </row>
    <row r="201" spans="4:4" x14ac:dyDescent="0.3">
      <c r="D201">
        <v>42.337754608714675</v>
      </c>
    </row>
    <row r="202" spans="4:4" x14ac:dyDescent="0.3">
      <c r="D202">
        <v>43.434233591291495</v>
      </c>
    </row>
    <row r="203" spans="4:4" x14ac:dyDescent="0.3">
      <c r="D203">
        <v>44.028088008350437</v>
      </c>
    </row>
    <row r="204" spans="4:4" x14ac:dyDescent="0.3">
      <c r="D204">
        <v>43.999505185219313</v>
      </c>
    </row>
    <row r="205" spans="4:4" x14ac:dyDescent="0.3">
      <c r="D205">
        <v>45.051764379331551</v>
      </c>
    </row>
    <row r="206" spans="4:4" x14ac:dyDescent="0.3">
      <c r="D206">
        <v>44.509895496015723</v>
      </c>
    </row>
    <row r="207" spans="4:4" x14ac:dyDescent="0.3">
      <c r="D207">
        <v>44.266398961789349</v>
      </c>
    </row>
    <row r="208" spans="4:4" x14ac:dyDescent="0.3">
      <c r="D208">
        <v>44.507159398765296</v>
      </c>
    </row>
    <row r="209" spans="4:4" x14ac:dyDescent="0.3">
      <c r="D209">
        <v>43.647920958842199</v>
      </c>
    </row>
    <row r="210" spans="4:4" x14ac:dyDescent="0.3">
      <c r="D210">
        <v>43.936171097528387</v>
      </c>
    </row>
    <row r="211" spans="4:4" x14ac:dyDescent="0.3">
      <c r="D211">
        <v>43.779566348193775</v>
      </c>
    </row>
    <row r="212" spans="4:4" x14ac:dyDescent="0.3">
      <c r="D212">
        <v>44.457529960178768</v>
      </c>
    </row>
    <row r="213" spans="4:4" x14ac:dyDescent="0.3">
      <c r="D213">
        <v>44.482652163525593</v>
      </c>
    </row>
    <row r="214" spans="4:4" x14ac:dyDescent="0.3">
      <c r="D214">
        <v>44.884619403384868</v>
      </c>
    </row>
    <row r="215" spans="4:4" x14ac:dyDescent="0.3">
      <c r="D215">
        <v>45.345841949603631</v>
      </c>
    </row>
    <row r="216" spans="4:4" x14ac:dyDescent="0.3">
      <c r="D216">
        <v>43.932731752601192</v>
      </c>
    </row>
    <row r="217" spans="4:4" x14ac:dyDescent="0.3">
      <c r="D217">
        <v>43.116617219866349</v>
      </c>
    </row>
    <row r="218" spans="4:4" x14ac:dyDescent="0.3">
      <c r="D218">
        <v>41.765622020999189</v>
      </c>
    </row>
    <row r="219" spans="4:4" x14ac:dyDescent="0.3">
      <c r="D219">
        <v>41.605120983329691</v>
      </c>
    </row>
    <row r="220" spans="4:4" x14ac:dyDescent="0.3">
      <c r="D220">
        <v>41.724040551514797</v>
      </c>
    </row>
    <row r="221" spans="4:4" x14ac:dyDescent="0.3">
      <c r="D221">
        <v>42.154827905220323</v>
      </c>
    </row>
    <row r="222" spans="4:4" x14ac:dyDescent="0.3">
      <c r="D222">
        <v>41.229960234492054</v>
      </c>
    </row>
    <row r="223" spans="4:4" x14ac:dyDescent="0.3">
      <c r="D223">
        <v>41.328028180867577</v>
      </c>
    </row>
    <row r="224" spans="4:4" x14ac:dyDescent="0.3">
      <c r="D224">
        <v>41.188298319931931</v>
      </c>
    </row>
    <row r="225" spans="4:4" x14ac:dyDescent="0.3">
      <c r="D225">
        <v>41.288066696095719</v>
      </c>
    </row>
    <row r="226" spans="4:4" x14ac:dyDescent="0.3">
      <c r="D226">
        <v>42.010003334475904</v>
      </c>
    </row>
    <row r="227" spans="4:4" x14ac:dyDescent="0.3">
      <c r="D227">
        <v>42.608487251614683</v>
      </c>
    </row>
    <row r="228" spans="4:4" x14ac:dyDescent="0.3">
      <c r="D228">
        <v>43.282615862860332</v>
      </c>
    </row>
    <row r="229" spans="4:4" x14ac:dyDescent="0.3">
      <c r="D229">
        <v>43.485574900730526</v>
      </c>
    </row>
    <row r="230" spans="4:4" x14ac:dyDescent="0.3">
      <c r="D230">
        <v>43.683970708710639</v>
      </c>
    </row>
    <row r="231" spans="4:4" x14ac:dyDescent="0.3">
      <c r="D231">
        <v>43.45878967264494</v>
      </c>
    </row>
    <row r="232" spans="4:4" x14ac:dyDescent="0.3">
      <c r="D232">
        <v>43.851088076795797</v>
      </c>
    </row>
    <row r="233" spans="4:4" x14ac:dyDescent="0.3">
      <c r="D233">
        <v>42.93109597611069</v>
      </c>
    </row>
    <row r="234" spans="4:4" x14ac:dyDescent="0.3">
      <c r="D234">
        <v>34.74756587352033</v>
      </c>
    </row>
    <row r="235" spans="4:4" x14ac:dyDescent="0.3">
      <c r="D235">
        <v>34.78864083947191</v>
      </c>
    </row>
    <row r="236" spans="4:4" x14ac:dyDescent="0.3">
      <c r="D236">
        <v>34.785275748191857</v>
      </c>
    </row>
    <row r="237" spans="4:4" x14ac:dyDescent="0.3">
      <c r="D237">
        <v>34.402983712242367</v>
      </c>
    </row>
    <row r="238" spans="4:4" x14ac:dyDescent="0.3">
      <c r="D238">
        <v>34.372272735273484</v>
      </c>
    </row>
    <row r="239" spans="4:4" x14ac:dyDescent="0.3">
      <c r="D239">
        <v>34.568653038019754</v>
      </c>
    </row>
    <row r="240" spans="4:4" x14ac:dyDescent="0.3">
      <c r="D240">
        <v>34.161039950716848</v>
      </c>
    </row>
    <row r="241" spans="4:4" x14ac:dyDescent="0.3">
      <c r="D241">
        <v>33.95465049196256</v>
      </c>
    </row>
    <row r="242" spans="4:4" x14ac:dyDescent="0.3">
      <c r="D242">
        <v>34.227472526855713</v>
      </c>
    </row>
    <row r="243" spans="4:4" x14ac:dyDescent="0.3">
      <c r="D243">
        <v>34.125542686871533</v>
      </c>
    </row>
    <row r="244" spans="4:4" x14ac:dyDescent="0.3">
      <c r="D244">
        <v>34.61769174516165</v>
      </c>
    </row>
    <row r="245" spans="4:4" x14ac:dyDescent="0.3">
      <c r="D245">
        <v>34.63517847699547</v>
      </c>
    </row>
    <row r="246" spans="4:4" x14ac:dyDescent="0.3">
      <c r="D246">
        <v>35.069144492185181</v>
      </c>
    </row>
    <row r="247" spans="4:4" x14ac:dyDescent="0.3">
      <c r="D247">
        <v>34.42504180713869</v>
      </c>
    </row>
    <row r="248" spans="4:4" x14ac:dyDescent="0.3">
      <c r="D248">
        <v>34.57494135051374</v>
      </c>
    </row>
    <row r="249" spans="4:4" x14ac:dyDescent="0.3">
      <c r="D249">
        <v>33.385345594150266</v>
      </c>
    </row>
    <row r="250" spans="4:4" x14ac:dyDescent="0.3">
      <c r="D250">
        <v>33.307765837591091</v>
      </c>
    </row>
    <row r="251" spans="4:4" x14ac:dyDescent="0.3">
      <c r="D251">
        <v>33.156281784026078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tion_Prices">
                <anchor moveWithCells="1" sizeWithCells="1">
                  <from>
                    <xdr:col>16</xdr:col>
                    <xdr:colOff>601980</xdr:colOff>
                    <xdr:row>2</xdr:row>
                    <xdr:rowOff>0</xdr:rowOff>
                  </from>
                  <to>
                    <xdr:col>20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251"/>
  <sheetViews>
    <sheetView tabSelected="1" workbookViewId="0">
      <selection activeCell="B13" sqref="B13"/>
    </sheetView>
  </sheetViews>
  <sheetFormatPr defaultRowHeight="14.4" x14ac:dyDescent="0.3"/>
  <cols>
    <col min="1" max="1" width="24.88671875" bestFit="1" customWidth="1"/>
  </cols>
  <sheetData>
    <row r="1" spans="1:4" x14ac:dyDescent="0.3">
      <c r="A1" t="s">
        <v>19</v>
      </c>
      <c r="D1" t="s">
        <v>9</v>
      </c>
    </row>
    <row r="2" spans="1:4" x14ac:dyDescent="0.3">
      <c r="D2">
        <v>49.764894666982784</v>
      </c>
    </row>
    <row r="3" spans="1:4" x14ac:dyDescent="0.3">
      <c r="A3" t="s">
        <v>1</v>
      </c>
      <c r="B3">
        <v>50</v>
      </c>
      <c r="D3">
        <v>50.411987096631428</v>
      </c>
    </row>
    <row r="4" spans="1:4" x14ac:dyDescent="0.3">
      <c r="A4" t="s">
        <v>2</v>
      </c>
      <c r="B4" s="1">
        <v>0.05</v>
      </c>
      <c r="D4">
        <v>50.026398363661386</v>
      </c>
    </row>
    <row r="5" spans="1:4" x14ac:dyDescent="0.3">
      <c r="A5" t="s">
        <v>3</v>
      </c>
      <c r="B5" s="1">
        <v>0.2</v>
      </c>
      <c r="D5">
        <v>49.997469395343181</v>
      </c>
    </row>
    <row r="6" spans="1:4" x14ac:dyDescent="0.3">
      <c r="A6" t="s">
        <v>4</v>
      </c>
      <c r="B6">
        <v>1</v>
      </c>
      <c r="D6">
        <v>49.764146661431027</v>
      </c>
    </row>
    <row r="7" spans="1:4" x14ac:dyDescent="0.3">
      <c r="A7" t="s">
        <v>5</v>
      </c>
      <c r="B7">
        <v>250</v>
      </c>
      <c r="D7">
        <v>50.00244812360495</v>
      </c>
    </row>
    <row r="8" spans="1:4" x14ac:dyDescent="0.3">
      <c r="A8" t="s">
        <v>14</v>
      </c>
      <c r="B8">
        <v>3</v>
      </c>
      <c r="D8">
        <v>50.126657797045233</v>
      </c>
    </row>
    <row r="9" spans="1:4" x14ac:dyDescent="0.3">
      <c r="A9" t="s">
        <v>6</v>
      </c>
      <c r="B9">
        <v>0</v>
      </c>
      <c r="D9">
        <v>49.641988893438487</v>
      </c>
    </row>
    <row r="10" spans="1:4" x14ac:dyDescent="0.3">
      <c r="A10" t="s">
        <v>7</v>
      </c>
      <c r="B10">
        <v>0.2</v>
      </c>
      <c r="D10">
        <v>50.720746220209556</v>
      </c>
    </row>
    <row r="11" spans="1:4" x14ac:dyDescent="0.3">
      <c r="D11">
        <v>50.74327321082999</v>
      </c>
    </row>
    <row r="12" spans="1:4" x14ac:dyDescent="0.3">
      <c r="A12" t="s">
        <v>16</v>
      </c>
      <c r="B12">
        <v>5000</v>
      </c>
      <c r="D12">
        <v>56.514808725393671</v>
      </c>
    </row>
    <row r="13" spans="1:4" x14ac:dyDescent="0.3">
      <c r="D13">
        <v>57.351311349246316</v>
      </c>
    </row>
    <row r="14" spans="1:4" x14ac:dyDescent="0.3">
      <c r="A14" t="s">
        <v>17</v>
      </c>
      <c r="B14">
        <v>50</v>
      </c>
      <c r="D14">
        <v>57.458569167126399</v>
      </c>
    </row>
    <row r="15" spans="1:4" x14ac:dyDescent="0.3">
      <c r="A15" t="s">
        <v>34</v>
      </c>
      <c r="B15">
        <v>1</v>
      </c>
      <c r="D15">
        <v>58.240727890940818</v>
      </c>
    </row>
    <row r="16" spans="1:4" x14ac:dyDescent="0.3">
      <c r="D16">
        <v>58.662910525505609</v>
      </c>
    </row>
    <row r="17" spans="1:4" x14ac:dyDescent="0.3">
      <c r="D17">
        <v>58.325947884969359</v>
      </c>
    </row>
    <row r="18" spans="1:4" x14ac:dyDescent="0.3">
      <c r="D18">
        <v>57.974051376251147</v>
      </c>
    </row>
    <row r="19" spans="1:4" x14ac:dyDescent="0.3">
      <c r="A19" t="s">
        <v>10</v>
      </c>
      <c r="B19">
        <v>3.1415815677044275E-2</v>
      </c>
      <c r="C19">
        <f>B19-0.03</f>
        <v>1.4158156770442756E-3</v>
      </c>
      <c r="D19">
        <v>57.794526809795855</v>
      </c>
    </row>
    <row r="20" spans="1:4" x14ac:dyDescent="0.3">
      <c r="A20" t="s">
        <v>13</v>
      </c>
      <c r="B20">
        <v>0.40147576091445009</v>
      </c>
      <c r="C20">
        <f>B20-0.2</f>
        <v>0.20147576091445007</v>
      </c>
      <c r="D20">
        <v>56.960101591489156</v>
      </c>
    </row>
    <row r="21" spans="1:4" x14ac:dyDescent="0.3">
      <c r="A21" t="s">
        <v>11</v>
      </c>
      <c r="B21">
        <v>-1.9309298358648655E-2</v>
      </c>
      <c r="C21">
        <f>B21-0</f>
        <v>-1.9309298358648655E-2</v>
      </c>
      <c r="D21">
        <v>57.204460733173526</v>
      </c>
    </row>
    <row r="22" spans="1:4" x14ac:dyDescent="0.3">
      <c r="A22" t="s">
        <v>12</v>
      </c>
      <c r="B22">
        <v>3.6040967498205578</v>
      </c>
      <c r="C22">
        <f>B22-3</f>
        <v>0.60409674982055783</v>
      </c>
      <c r="D22">
        <v>57.418041103436749</v>
      </c>
    </row>
    <row r="23" spans="1:4" x14ac:dyDescent="0.3">
      <c r="D23">
        <v>58.180042307483795</v>
      </c>
    </row>
    <row r="24" spans="1:4" x14ac:dyDescent="0.3">
      <c r="A24" t="s">
        <v>21</v>
      </c>
      <c r="B24">
        <v>0.44936078013413727</v>
      </c>
      <c r="D24">
        <v>59.527196298999357</v>
      </c>
    </row>
    <row r="25" spans="1:4" x14ac:dyDescent="0.3">
      <c r="A25" t="s">
        <v>20</v>
      </c>
      <c r="B25">
        <v>0.41890460904695065</v>
      </c>
      <c r="D25">
        <v>59.229678482230632</v>
      </c>
    </row>
    <row r="26" spans="1:4" x14ac:dyDescent="0.3">
      <c r="D26">
        <v>58.937348495310403</v>
      </c>
    </row>
    <row r="27" spans="1:4" x14ac:dyDescent="0.3">
      <c r="D27">
        <v>58.382147738200153</v>
      </c>
    </row>
    <row r="28" spans="1:4" x14ac:dyDescent="0.3">
      <c r="D28">
        <v>58.232040247768275</v>
      </c>
    </row>
    <row r="29" spans="1:4" x14ac:dyDescent="0.3">
      <c r="D29">
        <v>57.22953225866037</v>
      </c>
    </row>
    <row r="30" spans="1:4" x14ac:dyDescent="0.3">
      <c r="D30">
        <v>56.329634519920894</v>
      </c>
    </row>
    <row r="31" spans="1:4" x14ac:dyDescent="0.3">
      <c r="D31">
        <v>57.155459329640138</v>
      </c>
    </row>
    <row r="32" spans="1:4" x14ac:dyDescent="0.3">
      <c r="D32">
        <v>57.366915791754906</v>
      </c>
    </row>
    <row r="33" spans="4:4" x14ac:dyDescent="0.3">
      <c r="D33">
        <v>56.201616818419645</v>
      </c>
    </row>
    <row r="34" spans="4:4" x14ac:dyDescent="0.3">
      <c r="D34">
        <v>56.555390848138615</v>
      </c>
    </row>
    <row r="35" spans="4:4" x14ac:dyDescent="0.3">
      <c r="D35">
        <v>57.943655738805447</v>
      </c>
    </row>
    <row r="36" spans="4:4" x14ac:dyDescent="0.3">
      <c r="D36">
        <v>57.154766949301695</v>
      </c>
    </row>
    <row r="37" spans="4:4" x14ac:dyDescent="0.3">
      <c r="D37">
        <v>57.205357130696711</v>
      </c>
    </row>
    <row r="38" spans="4:4" x14ac:dyDescent="0.3">
      <c r="D38">
        <v>57.386200416399319</v>
      </c>
    </row>
    <row r="39" spans="4:4" x14ac:dyDescent="0.3">
      <c r="D39">
        <v>55.98500804200237</v>
      </c>
    </row>
    <row r="40" spans="4:4" x14ac:dyDescent="0.3">
      <c r="D40">
        <v>56.050483912123617</v>
      </c>
    </row>
    <row r="41" spans="4:4" x14ac:dyDescent="0.3">
      <c r="D41">
        <v>55.799182589379768</v>
      </c>
    </row>
    <row r="42" spans="4:4" x14ac:dyDescent="0.3">
      <c r="D42">
        <v>55.86147244322003</v>
      </c>
    </row>
    <row r="43" spans="4:4" x14ac:dyDescent="0.3">
      <c r="D43">
        <v>55.624050045291476</v>
      </c>
    </row>
    <row r="44" spans="4:4" x14ac:dyDescent="0.3">
      <c r="D44">
        <v>56.204948835205499</v>
      </c>
    </row>
    <row r="45" spans="4:4" x14ac:dyDescent="0.3">
      <c r="D45">
        <v>56.186886688235973</v>
      </c>
    </row>
    <row r="46" spans="4:4" x14ac:dyDescent="0.3">
      <c r="D46">
        <v>57.12457726821107</v>
      </c>
    </row>
    <row r="47" spans="4:4" x14ac:dyDescent="0.3">
      <c r="D47">
        <v>57.414238468752579</v>
      </c>
    </row>
    <row r="48" spans="4:4" x14ac:dyDescent="0.3">
      <c r="D48">
        <v>58.206250958470179</v>
      </c>
    </row>
    <row r="49" spans="4:4" x14ac:dyDescent="0.3">
      <c r="D49">
        <v>58.067749175910187</v>
      </c>
    </row>
    <row r="50" spans="4:4" x14ac:dyDescent="0.3">
      <c r="D50">
        <v>57.73150838083437</v>
      </c>
    </row>
    <row r="51" spans="4:4" x14ac:dyDescent="0.3">
      <c r="D51">
        <v>57.506920862089324</v>
      </c>
    </row>
    <row r="52" spans="4:4" x14ac:dyDescent="0.3">
      <c r="D52">
        <v>56.709612306551236</v>
      </c>
    </row>
    <row r="53" spans="4:4" x14ac:dyDescent="0.3">
      <c r="D53">
        <v>57.21270542812357</v>
      </c>
    </row>
    <row r="54" spans="4:4" x14ac:dyDescent="0.3">
      <c r="D54">
        <v>56.275947639097758</v>
      </c>
    </row>
    <row r="55" spans="4:4" x14ac:dyDescent="0.3">
      <c r="D55">
        <v>56.012909379332328</v>
      </c>
    </row>
    <row r="56" spans="4:4" x14ac:dyDescent="0.3">
      <c r="D56">
        <v>57.332705855932396</v>
      </c>
    </row>
    <row r="57" spans="4:4" x14ac:dyDescent="0.3">
      <c r="D57">
        <v>57.626266345368997</v>
      </c>
    </row>
    <row r="58" spans="4:4" x14ac:dyDescent="0.3">
      <c r="D58">
        <v>58.111050758829471</v>
      </c>
    </row>
    <row r="59" spans="4:4" x14ac:dyDescent="0.3">
      <c r="D59">
        <v>57.569710466301807</v>
      </c>
    </row>
    <row r="60" spans="4:4" x14ac:dyDescent="0.3">
      <c r="D60">
        <v>56.870885340185879</v>
      </c>
    </row>
    <row r="61" spans="4:4" x14ac:dyDescent="0.3">
      <c r="D61">
        <v>56.629115010677275</v>
      </c>
    </row>
    <row r="62" spans="4:4" x14ac:dyDescent="0.3">
      <c r="D62">
        <v>56.609218448023981</v>
      </c>
    </row>
    <row r="63" spans="4:4" x14ac:dyDescent="0.3">
      <c r="D63">
        <v>58.011516940060801</v>
      </c>
    </row>
    <row r="64" spans="4:4" x14ac:dyDescent="0.3">
      <c r="D64">
        <v>57.992602040035834</v>
      </c>
    </row>
    <row r="65" spans="4:4" x14ac:dyDescent="0.3">
      <c r="D65">
        <v>58.413407172548993</v>
      </c>
    </row>
    <row r="66" spans="4:4" x14ac:dyDescent="0.3">
      <c r="D66">
        <v>58.90448068025713</v>
      </c>
    </row>
    <row r="67" spans="4:4" x14ac:dyDescent="0.3">
      <c r="D67">
        <v>58.706727665671352</v>
      </c>
    </row>
    <row r="68" spans="4:4" x14ac:dyDescent="0.3">
      <c r="D68">
        <v>57.921474307119077</v>
      </c>
    </row>
    <row r="69" spans="4:4" x14ac:dyDescent="0.3">
      <c r="D69">
        <v>58.116987003968923</v>
      </c>
    </row>
    <row r="70" spans="4:4" x14ac:dyDescent="0.3">
      <c r="D70">
        <v>58.391824269648026</v>
      </c>
    </row>
    <row r="71" spans="4:4" x14ac:dyDescent="0.3">
      <c r="D71">
        <v>58.60963410046611</v>
      </c>
    </row>
    <row r="72" spans="4:4" x14ac:dyDescent="0.3">
      <c r="D72">
        <v>58.220022067541429</v>
      </c>
    </row>
    <row r="73" spans="4:4" x14ac:dyDescent="0.3">
      <c r="D73">
        <v>58.246833259030183</v>
      </c>
    </row>
    <row r="74" spans="4:4" x14ac:dyDescent="0.3">
      <c r="D74">
        <v>58.273506307170926</v>
      </c>
    </row>
    <row r="75" spans="4:4" x14ac:dyDescent="0.3">
      <c r="D75">
        <v>58.452665971669596</v>
      </c>
    </row>
    <row r="76" spans="4:4" x14ac:dyDescent="0.3">
      <c r="D76">
        <v>58.583759558745264</v>
      </c>
    </row>
    <row r="77" spans="4:4" x14ac:dyDescent="0.3">
      <c r="D77">
        <v>55.935456083068281</v>
      </c>
    </row>
    <row r="78" spans="4:4" x14ac:dyDescent="0.3">
      <c r="D78">
        <v>55.72820907475392</v>
      </c>
    </row>
    <row r="79" spans="4:4" x14ac:dyDescent="0.3">
      <c r="D79">
        <v>55.945828271299362</v>
      </c>
    </row>
    <row r="80" spans="4:4" x14ac:dyDescent="0.3">
      <c r="D80">
        <v>55.996474547282347</v>
      </c>
    </row>
    <row r="81" spans="4:4" x14ac:dyDescent="0.3">
      <c r="D81">
        <v>55.426894550964882</v>
      </c>
    </row>
    <row r="82" spans="4:4" x14ac:dyDescent="0.3">
      <c r="D82">
        <v>55.411897323304132</v>
      </c>
    </row>
    <row r="83" spans="4:4" x14ac:dyDescent="0.3">
      <c r="D83">
        <v>56.015403178151224</v>
      </c>
    </row>
    <row r="84" spans="4:4" x14ac:dyDescent="0.3">
      <c r="D84">
        <v>55.414176805659572</v>
      </c>
    </row>
    <row r="85" spans="4:4" x14ac:dyDescent="0.3">
      <c r="D85">
        <v>55.143719786678517</v>
      </c>
    </row>
    <row r="86" spans="4:4" x14ac:dyDescent="0.3">
      <c r="D86">
        <v>55.665377122082376</v>
      </c>
    </row>
    <row r="87" spans="4:4" x14ac:dyDescent="0.3">
      <c r="D87">
        <v>55.825880821357686</v>
      </c>
    </row>
    <row r="88" spans="4:4" x14ac:dyDescent="0.3">
      <c r="D88">
        <v>55.92483406096359</v>
      </c>
    </row>
    <row r="89" spans="4:4" x14ac:dyDescent="0.3">
      <c r="D89">
        <v>55.36676868679055</v>
      </c>
    </row>
    <row r="90" spans="4:4" x14ac:dyDescent="0.3">
      <c r="D90">
        <v>55.132960590043552</v>
      </c>
    </row>
    <row r="91" spans="4:4" x14ac:dyDescent="0.3">
      <c r="D91">
        <v>54.653605383868104</v>
      </c>
    </row>
    <row r="92" spans="4:4" x14ac:dyDescent="0.3">
      <c r="D92">
        <v>53.356321691794626</v>
      </c>
    </row>
    <row r="93" spans="4:4" x14ac:dyDescent="0.3">
      <c r="D93">
        <v>53.668032233610184</v>
      </c>
    </row>
    <row r="94" spans="4:4" x14ac:dyDescent="0.3">
      <c r="D94">
        <v>52.888510061898955</v>
      </c>
    </row>
    <row r="95" spans="4:4" x14ac:dyDescent="0.3">
      <c r="D95">
        <v>52.667329095278383</v>
      </c>
    </row>
    <row r="96" spans="4:4" x14ac:dyDescent="0.3">
      <c r="D96">
        <v>51.032560238051339</v>
      </c>
    </row>
    <row r="97" spans="4:4" x14ac:dyDescent="0.3">
      <c r="D97">
        <v>50.461206271017289</v>
      </c>
    </row>
    <row r="98" spans="4:4" x14ac:dyDescent="0.3">
      <c r="D98">
        <v>49.599793336058745</v>
      </c>
    </row>
    <row r="99" spans="4:4" x14ac:dyDescent="0.3">
      <c r="D99">
        <v>49.425022626192558</v>
      </c>
    </row>
    <row r="100" spans="4:4" x14ac:dyDescent="0.3">
      <c r="D100">
        <v>49.143545831754906</v>
      </c>
    </row>
    <row r="101" spans="4:4" x14ac:dyDescent="0.3">
      <c r="D101">
        <v>48.768950353122449</v>
      </c>
    </row>
    <row r="102" spans="4:4" x14ac:dyDescent="0.3">
      <c r="D102">
        <v>47.259488339464987</v>
      </c>
    </row>
    <row r="103" spans="4:4" x14ac:dyDescent="0.3">
      <c r="D103">
        <v>46.324036922740653</v>
      </c>
    </row>
    <row r="104" spans="4:4" x14ac:dyDescent="0.3">
      <c r="D104">
        <v>46.757603043813042</v>
      </c>
    </row>
    <row r="105" spans="4:4" x14ac:dyDescent="0.3">
      <c r="D105">
        <v>45.710189824850445</v>
      </c>
    </row>
    <row r="106" spans="4:4" x14ac:dyDescent="0.3">
      <c r="D106">
        <v>46.290930635300029</v>
      </c>
    </row>
    <row r="107" spans="4:4" x14ac:dyDescent="0.3">
      <c r="D107">
        <v>47.31616686812395</v>
      </c>
    </row>
    <row r="108" spans="4:4" x14ac:dyDescent="0.3">
      <c r="D108">
        <v>47.444098248830123</v>
      </c>
    </row>
    <row r="109" spans="4:4" x14ac:dyDescent="0.3">
      <c r="D109">
        <v>47.710378022678931</v>
      </c>
    </row>
    <row r="110" spans="4:4" x14ac:dyDescent="0.3">
      <c r="D110">
        <v>47.289366741771055</v>
      </c>
    </row>
    <row r="111" spans="4:4" x14ac:dyDescent="0.3">
      <c r="D111">
        <v>45.590345060682431</v>
      </c>
    </row>
    <row r="112" spans="4:4" x14ac:dyDescent="0.3">
      <c r="D112">
        <v>46.627057853621864</v>
      </c>
    </row>
    <row r="113" spans="4:4" x14ac:dyDescent="0.3">
      <c r="D113">
        <v>47.495887237367334</v>
      </c>
    </row>
    <row r="114" spans="4:4" x14ac:dyDescent="0.3">
      <c r="D114">
        <v>46.608854536791178</v>
      </c>
    </row>
    <row r="115" spans="4:4" x14ac:dyDescent="0.3">
      <c r="D115">
        <v>47.482879510014712</v>
      </c>
    </row>
    <row r="116" spans="4:4" x14ac:dyDescent="0.3">
      <c r="D116">
        <v>47.575245159097214</v>
      </c>
    </row>
    <row r="117" spans="4:4" x14ac:dyDescent="0.3">
      <c r="D117">
        <v>47.818668745127098</v>
      </c>
    </row>
    <row r="118" spans="4:4" x14ac:dyDescent="0.3">
      <c r="D118">
        <v>48.55814092941592</v>
      </c>
    </row>
    <row r="119" spans="4:4" x14ac:dyDescent="0.3">
      <c r="D119">
        <v>49.088405287787168</v>
      </c>
    </row>
    <row r="120" spans="4:4" x14ac:dyDescent="0.3">
      <c r="D120">
        <v>50.279586177875252</v>
      </c>
    </row>
    <row r="121" spans="4:4" x14ac:dyDescent="0.3">
      <c r="D121">
        <v>49.889887311523154</v>
      </c>
    </row>
    <row r="122" spans="4:4" x14ac:dyDescent="0.3">
      <c r="D122">
        <v>49.834731879846316</v>
      </c>
    </row>
    <row r="123" spans="4:4" x14ac:dyDescent="0.3">
      <c r="D123">
        <v>49.872191974507324</v>
      </c>
    </row>
    <row r="124" spans="4:4" x14ac:dyDescent="0.3">
      <c r="D124">
        <v>49.465768292211102</v>
      </c>
    </row>
    <row r="125" spans="4:4" x14ac:dyDescent="0.3">
      <c r="D125">
        <v>49.07416237727265</v>
      </c>
    </row>
    <row r="126" spans="4:4" x14ac:dyDescent="0.3">
      <c r="D126">
        <v>48.68847924069054</v>
      </c>
    </row>
    <row r="127" spans="4:4" x14ac:dyDescent="0.3">
      <c r="D127">
        <v>48.379961150132885</v>
      </c>
    </row>
    <row r="128" spans="4:4" x14ac:dyDescent="0.3">
      <c r="D128">
        <v>48.265347553529203</v>
      </c>
    </row>
    <row r="129" spans="4:4" x14ac:dyDescent="0.3">
      <c r="D129">
        <v>48.61911541657927</v>
      </c>
    </row>
    <row r="130" spans="4:4" x14ac:dyDescent="0.3">
      <c r="D130">
        <v>49.741717506761589</v>
      </c>
    </row>
    <row r="131" spans="4:4" x14ac:dyDescent="0.3">
      <c r="D131">
        <v>49.235426762452747</v>
      </c>
    </row>
    <row r="132" spans="4:4" x14ac:dyDescent="0.3">
      <c r="D132">
        <v>50.169929982153462</v>
      </c>
    </row>
    <row r="133" spans="4:4" x14ac:dyDescent="0.3">
      <c r="D133">
        <v>50.664968551737118</v>
      </c>
    </row>
    <row r="134" spans="4:4" x14ac:dyDescent="0.3">
      <c r="D134">
        <v>51.667102480686999</v>
      </c>
    </row>
    <row r="135" spans="4:4" x14ac:dyDescent="0.3">
      <c r="D135">
        <v>51.84962191800858</v>
      </c>
    </row>
    <row r="136" spans="4:4" x14ac:dyDescent="0.3">
      <c r="D136">
        <v>51.295216583573435</v>
      </c>
    </row>
    <row r="137" spans="4:4" x14ac:dyDescent="0.3">
      <c r="D137">
        <v>50.718354435714083</v>
      </c>
    </row>
    <row r="138" spans="4:4" x14ac:dyDescent="0.3">
      <c r="D138">
        <v>51.190367873861113</v>
      </c>
    </row>
    <row r="139" spans="4:4" x14ac:dyDescent="0.3">
      <c r="D139">
        <v>51.557068515530887</v>
      </c>
    </row>
    <row r="140" spans="4:4" x14ac:dyDescent="0.3">
      <c r="D140">
        <v>50.67320609576705</v>
      </c>
    </row>
    <row r="141" spans="4:4" x14ac:dyDescent="0.3">
      <c r="D141">
        <v>51.089740925858052</v>
      </c>
    </row>
    <row r="142" spans="4:4" x14ac:dyDescent="0.3">
      <c r="D142">
        <v>51.486597644618492</v>
      </c>
    </row>
    <row r="143" spans="4:4" x14ac:dyDescent="0.3">
      <c r="D143">
        <v>50.463768597862995</v>
      </c>
    </row>
    <row r="144" spans="4:4" x14ac:dyDescent="0.3">
      <c r="D144">
        <v>50.339027240715417</v>
      </c>
    </row>
    <row r="145" spans="4:4" x14ac:dyDescent="0.3">
      <c r="D145">
        <v>50.958374914329887</v>
      </c>
    </row>
    <row r="146" spans="4:4" x14ac:dyDescent="0.3">
      <c r="D146">
        <v>50.640537641014895</v>
      </c>
    </row>
    <row r="147" spans="4:4" x14ac:dyDescent="0.3">
      <c r="D147">
        <v>48.987904873254863</v>
      </c>
    </row>
    <row r="148" spans="4:4" x14ac:dyDescent="0.3">
      <c r="D148">
        <v>48.950580562078329</v>
      </c>
    </row>
    <row r="149" spans="4:4" x14ac:dyDescent="0.3">
      <c r="D149">
        <v>49.861793974039692</v>
      </c>
    </row>
    <row r="150" spans="4:4" x14ac:dyDescent="0.3">
      <c r="D150">
        <v>50.19035652600207</v>
      </c>
    </row>
    <row r="151" spans="4:4" x14ac:dyDescent="0.3">
      <c r="D151">
        <v>49.768572596662715</v>
      </c>
    </row>
    <row r="152" spans="4:4" x14ac:dyDescent="0.3">
      <c r="D152">
        <v>49.730009052644242</v>
      </c>
    </row>
    <row r="153" spans="4:4" x14ac:dyDescent="0.3">
      <c r="D153">
        <v>48.807397898826018</v>
      </c>
    </row>
    <row r="154" spans="4:4" x14ac:dyDescent="0.3">
      <c r="D154">
        <v>48.456530971779387</v>
      </c>
    </row>
    <row r="155" spans="4:4" x14ac:dyDescent="0.3">
      <c r="D155">
        <v>48.160197714107071</v>
      </c>
    </row>
    <row r="156" spans="4:4" x14ac:dyDescent="0.3">
      <c r="D156">
        <v>47.383486904702266</v>
      </c>
    </row>
    <row r="157" spans="4:4" x14ac:dyDescent="0.3">
      <c r="D157">
        <v>47.203083019120129</v>
      </c>
    </row>
    <row r="158" spans="4:4" x14ac:dyDescent="0.3">
      <c r="D158">
        <v>46.617844609950687</v>
      </c>
    </row>
    <row r="159" spans="4:4" x14ac:dyDescent="0.3">
      <c r="D159">
        <v>45.574013135615502</v>
      </c>
    </row>
    <row r="160" spans="4:4" x14ac:dyDescent="0.3">
      <c r="D160">
        <v>46.820686690088657</v>
      </c>
    </row>
    <row r="161" spans="4:4" x14ac:dyDescent="0.3">
      <c r="D161">
        <v>46.90870260918895</v>
      </c>
    </row>
    <row r="162" spans="4:4" x14ac:dyDescent="0.3">
      <c r="D162">
        <v>47.108949228826205</v>
      </c>
    </row>
    <row r="163" spans="4:4" x14ac:dyDescent="0.3">
      <c r="D163">
        <v>46.363401386711907</v>
      </c>
    </row>
    <row r="164" spans="4:4" x14ac:dyDescent="0.3">
      <c r="D164">
        <v>45.907746353971945</v>
      </c>
    </row>
    <row r="165" spans="4:4" x14ac:dyDescent="0.3">
      <c r="D165">
        <v>45.73333405437986</v>
      </c>
    </row>
    <row r="166" spans="4:4" x14ac:dyDescent="0.3">
      <c r="D166">
        <v>46.022110217366354</v>
      </c>
    </row>
    <row r="167" spans="4:4" x14ac:dyDescent="0.3">
      <c r="D167">
        <v>46.046365340726112</v>
      </c>
    </row>
    <row r="168" spans="4:4" x14ac:dyDescent="0.3">
      <c r="D168">
        <v>46.615196562243966</v>
      </c>
    </row>
    <row r="169" spans="4:4" x14ac:dyDescent="0.3">
      <c r="D169">
        <v>46.132086909124048</v>
      </c>
    </row>
    <row r="170" spans="4:4" x14ac:dyDescent="0.3">
      <c r="D170">
        <v>46.19671143809169</v>
      </c>
    </row>
    <row r="171" spans="4:4" x14ac:dyDescent="0.3">
      <c r="D171">
        <v>45.463181118759628</v>
      </c>
    </row>
    <row r="172" spans="4:4" x14ac:dyDescent="0.3">
      <c r="D172">
        <v>45.211738091726119</v>
      </c>
    </row>
    <row r="173" spans="4:4" x14ac:dyDescent="0.3">
      <c r="D173">
        <v>45.162879351084491</v>
      </c>
    </row>
    <row r="174" spans="4:4" x14ac:dyDescent="0.3">
      <c r="D174">
        <v>44.422621945246263</v>
      </c>
    </row>
    <row r="175" spans="4:4" x14ac:dyDescent="0.3">
      <c r="D175">
        <v>43.363593110740922</v>
      </c>
    </row>
    <row r="176" spans="4:4" x14ac:dyDescent="0.3">
      <c r="D176">
        <v>42.795716126115146</v>
      </c>
    </row>
    <row r="177" spans="4:4" x14ac:dyDescent="0.3">
      <c r="D177">
        <v>42.286643337396661</v>
      </c>
    </row>
    <row r="178" spans="4:4" x14ac:dyDescent="0.3">
      <c r="D178">
        <v>42.235990003640396</v>
      </c>
    </row>
    <row r="179" spans="4:4" x14ac:dyDescent="0.3">
      <c r="D179">
        <v>41.932223574554243</v>
      </c>
    </row>
    <row r="180" spans="4:4" x14ac:dyDescent="0.3">
      <c r="D180">
        <v>41.471901667018265</v>
      </c>
    </row>
    <row r="181" spans="4:4" x14ac:dyDescent="0.3">
      <c r="D181">
        <v>41.364623178360397</v>
      </c>
    </row>
    <row r="182" spans="4:4" x14ac:dyDescent="0.3">
      <c r="D182">
        <v>41.299269221566121</v>
      </c>
    </row>
    <row r="183" spans="4:4" x14ac:dyDescent="0.3">
      <c r="D183">
        <v>40.824717675851623</v>
      </c>
    </row>
    <row r="184" spans="4:4" x14ac:dyDescent="0.3">
      <c r="D184">
        <v>40.568843764019796</v>
      </c>
    </row>
    <row r="185" spans="4:4" x14ac:dyDescent="0.3">
      <c r="D185">
        <v>41.149083422285265</v>
      </c>
    </row>
    <row r="186" spans="4:4" x14ac:dyDescent="0.3">
      <c r="D186">
        <v>40.408720037149884</v>
      </c>
    </row>
    <row r="187" spans="4:4" x14ac:dyDescent="0.3">
      <c r="D187">
        <v>40.978511491635118</v>
      </c>
    </row>
    <row r="188" spans="4:4" x14ac:dyDescent="0.3">
      <c r="D188">
        <v>41.429270659836106</v>
      </c>
    </row>
    <row r="189" spans="4:4" x14ac:dyDescent="0.3">
      <c r="D189">
        <v>41.117902492818963</v>
      </c>
    </row>
    <row r="190" spans="4:4" x14ac:dyDescent="0.3">
      <c r="D190">
        <v>40.32606537966749</v>
      </c>
    </row>
    <row r="191" spans="4:4" x14ac:dyDescent="0.3">
      <c r="D191">
        <v>40.784164816721486</v>
      </c>
    </row>
    <row r="192" spans="4:4" x14ac:dyDescent="0.3">
      <c r="D192">
        <v>41.598858659584401</v>
      </c>
    </row>
    <row r="193" spans="4:4" x14ac:dyDescent="0.3">
      <c r="D193">
        <v>42.506696284183143</v>
      </c>
    </row>
    <row r="194" spans="4:4" x14ac:dyDescent="0.3">
      <c r="D194">
        <v>42.274403299744655</v>
      </c>
    </row>
    <row r="195" spans="4:4" x14ac:dyDescent="0.3">
      <c r="D195">
        <v>42.033727739187682</v>
      </c>
    </row>
    <row r="196" spans="4:4" x14ac:dyDescent="0.3">
      <c r="D196">
        <v>41.939620570960088</v>
      </c>
    </row>
    <row r="197" spans="4:4" x14ac:dyDescent="0.3">
      <c r="D197">
        <v>41.695293773344865</v>
      </c>
    </row>
    <row r="198" spans="4:4" x14ac:dyDescent="0.3">
      <c r="D198">
        <v>41.705369965229949</v>
      </c>
    </row>
    <row r="199" spans="4:4" x14ac:dyDescent="0.3">
      <c r="D199">
        <v>40.69731087905884</v>
      </c>
    </row>
    <row r="200" spans="4:4" x14ac:dyDescent="0.3">
      <c r="D200">
        <v>41.455580999459542</v>
      </c>
    </row>
    <row r="201" spans="4:4" x14ac:dyDescent="0.3">
      <c r="D201">
        <v>41.250147381220806</v>
      </c>
    </row>
    <row r="202" spans="4:4" x14ac:dyDescent="0.3">
      <c r="D202">
        <v>41.142022924651194</v>
      </c>
    </row>
    <row r="203" spans="4:4" x14ac:dyDescent="0.3">
      <c r="D203">
        <v>40.987680125691313</v>
      </c>
    </row>
    <row r="204" spans="4:4" x14ac:dyDescent="0.3">
      <c r="D204">
        <v>41.069804739274453</v>
      </c>
    </row>
    <row r="205" spans="4:4" x14ac:dyDescent="0.3">
      <c r="D205">
        <v>40.382409815944214</v>
      </c>
    </row>
    <row r="206" spans="4:4" x14ac:dyDescent="0.3">
      <c r="D206">
        <v>40.505714456582325</v>
      </c>
    </row>
    <row r="207" spans="4:4" x14ac:dyDescent="0.3">
      <c r="D207">
        <v>40.022408636536262</v>
      </c>
    </row>
    <row r="208" spans="4:4" x14ac:dyDescent="0.3">
      <c r="D208">
        <v>39.892273411568539</v>
      </c>
    </row>
    <row r="209" spans="4:4" x14ac:dyDescent="0.3">
      <c r="D209">
        <v>39.462132428251884</v>
      </c>
    </row>
    <row r="210" spans="4:4" x14ac:dyDescent="0.3">
      <c r="D210">
        <v>39.839144332777792</v>
      </c>
    </row>
    <row r="211" spans="4:4" x14ac:dyDescent="0.3">
      <c r="D211">
        <v>38.64332336786655</v>
      </c>
    </row>
    <row r="212" spans="4:4" x14ac:dyDescent="0.3">
      <c r="D212">
        <v>39.497847074070862</v>
      </c>
    </row>
    <row r="213" spans="4:4" x14ac:dyDescent="0.3">
      <c r="D213">
        <v>39.336971767270867</v>
      </c>
    </row>
    <row r="214" spans="4:4" x14ac:dyDescent="0.3">
      <c r="D214">
        <v>39.203598512447073</v>
      </c>
    </row>
    <row r="215" spans="4:4" x14ac:dyDescent="0.3">
      <c r="D215">
        <v>39.70063627532187</v>
      </c>
    </row>
    <row r="216" spans="4:4" x14ac:dyDescent="0.3">
      <c r="D216">
        <v>40.004773096533214</v>
      </c>
    </row>
    <row r="217" spans="4:4" x14ac:dyDescent="0.3">
      <c r="D217">
        <v>40.704634987054817</v>
      </c>
    </row>
    <row r="218" spans="4:4" x14ac:dyDescent="0.3">
      <c r="D218">
        <v>40.028441566390278</v>
      </c>
    </row>
    <row r="219" spans="4:4" x14ac:dyDescent="0.3">
      <c r="D219">
        <v>39.943733416294904</v>
      </c>
    </row>
    <row r="220" spans="4:4" x14ac:dyDescent="0.3">
      <c r="D220">
        <v>40.108845728622036</v>
      </c>
    </row>
    <row r="221" spans="4:4" x14ac:dyDescent="0.3">
      <c r="D221">
        <v>39.679896275628472</v>
      </c>
    </row>
    <row r="222" spans="4:4" x14ac:dyDescent="0.3">
      <c r="D222">
        <v>39.294067641787656</v>
      </c>
    </row>
    <row r="223" spans="4:4" x14ac:dyDescent="0.3">
      <c r="D223">
        <v>39.889874814794894</v>
      </c>
    </row>
    <row r="224" spans="4:4" x14ac:dyDescent="0.3">
      <c r="D224">
        <v>39.948172465260157</v>
      </c>
    </row>
    <row r="225" spans="4:4" x14ac:dyDescent="0.3">
      <c r="D225">
        <v>39.463001682658636</v>
      </c>
    </row>
    <row r="226" spans="4:4" x14ac:dyDescent="0.3">
      <c r="D226">
        <v>39.229147748462545</v>
      </c>
    </row>
    <row r="227" spans="4:4" x14ac:dyDescent="0.3">
      <c r="D227">
        <v>38.650554318819779</v>
      </c>
    </row>
    <row r="228" spans="4:4" x14ac:dyDescent="0.3">
      <c r="D228">
        <v>39.094153207550505</v>
      </c>
    </row>
    <row r="229" spans="4:4" x14ac:dyDescent="0.3">
      <c r="D229">
        <v>39.61492326857887</v>
      </c>
    </row>
    <row r="230" spans="4:4" x14ac:dyDescent="0.3">
      <c r="D230">
        <v>39.796746273205791</v>
      </c>
    </row>
    <row r="231" spans="4:4" x14ac:dyDescent="0.3">
      <c r="D231">
        <v>39.66836175343159</v>
      </c>
    </row>
    <row r="232" spans="4:4" x14ac:dyDescent="0.3">
      <c r="D232">
        <v>39.980577336615958</v>
      </c>
    </row>
    <row r="233" spans="4:4" x14ac:dyDescent="0.3">
      <c r="D233">
        <v>40.529098770084055</v>
      </c>
    </row>
    <row r="234" spans="4:4" x14ac:dyDescent="0.3">
      <c r="D234">
        <v>40.713437150688307</v>
      </c>
    </row>
    <row r="235" spans="4:4" x14ac:dyDescent="0.3">
      <c r="D235">
        <v>41.146072069352066</v>
      </c>
    </row>
    <row r="236" spans="4:4" x14ac:dyDescent="0.3">
      <c r="D236">
        <v>40.18664008703599</v>
      </c>
    </row>
    <row r="237" spans="4:4" x14ac:dyDescent="0.3">
      <c r="D237">
        <v>40.768537765261755</v>
      </c>
    </row>
    <row r="238" spans="4:4" x14ac:dyDescent="0.3">
      <c r="D238">
        <v>40.73321131275285</v>
      </c>
    </row>
    <row r="239" spans="4:4" x14ac:dyDescent="0.3">
      <c r="D239">
        <v>41.053796545455334</v>
      </c>
    </row>
    <row r="240" spans="4:4" x14ac:dyDescent="0.3">
      <c r="D240">
        <v>40.9454016697903</v>
      </c>
    </row>
    <row r="241" spans="4:4" x14ac:dyDescent="0.3">
      <c r="D241">
        <v>40.41937981368352</v>
      </c>
    </row>
    <row r="242" spans="4:4" x14ac:dyDescent="0.3">
      <c r="D242">
        <v>40.417424817069772</v>
      </c>
    </row>
    <row r="243" spans="4:4" x14ac:dyDescent="0.3">
      <c r="D243">
        <v>40.338490679238994</v>
      </c>
    </row>
    <row r="244" spans="4:4" x14ac:dyDescent="0.3">
      <c r="D244">
        <v>39.375245183341441</v>
      </c>
    </row>
    <row r="245" spans="4:4" x14ac:dyDescent="0.3">
      <c r="D245">
        <v>38.519899732716638</v>
      </c>
    </row>
    <row r="246" spans="4:4" x14ac:dyDescent="0.3">
      <c r="D246">
        <v>38.897522155698823</v>
      </c>
    </row>
    <row r="247" spans="4:4" x14ac:dyDescent="0.3">
      <c r="D247">
        <v>38.877033113321026</v>
      </c>
    </row>
    <row r="248" spans="4:4" x14ac:dyDescent="0.3">
      <c r="D248">
        <v>39.850484471554161</v>
      </c>
    </row>
    <row r="249" spans="4:4" x14ac:dyDescent="0.3">
      <c r="D249">
        <v>39.80029753329886</v>
      </c>
    </row>
    <row r="250" spans="4:4" x14ac:dyDescent="0.3">
      <c r="D250">
        <v>39.908979695926114</v>
      </c>
    </row>
    <row r="251" spans="4:4" x14ac:dyDescent="0.3">
      <c r="D251">
        <v>39.587876608689236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gitalOption_Prices">
                <anchor moveWithCells="1" sizeWithCells="1">
                  <from>
                    <xdr:col>16</xdr:col>
                    <xdr:colOff>601980</xdr:colOff>
                    <xdr:row>2</xdr:row>
                    <xdr:rowOff>0</xdr:rowOff>
                  </from>
                  <to>
                    <xdr:col>20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白金硕</dc:creator>
  <cp:lastModifiedBy>白金硕</cp:lastModifiedBy>
  <dcterms:created xsi:type="dcterms:W3CDTF">2006-09-16T00:00:00Z</dcterms:created>
  <dcterms:modified xsi:type="dcterms:W3CDTF">2016-09-23T21:17:00Z</dcterms:modified>
</cp:coreProperties>
</file>